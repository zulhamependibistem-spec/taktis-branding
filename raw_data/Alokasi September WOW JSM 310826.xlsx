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lha\Downloads\"/>
    </mc:Choice>
  </mc:AlternateContent>
  <xr:revisionPtr revIDLastSave="0" documentId="13_ncr:1_{2AD2F14F-4B9A-42F7-AE32-3B3F5E618E71}" xr6:coauthVersionLast="47" xr6:coauthVersionMax="47" xr10:uidLastSave="{00000000-0000-0000-0000-000000000000}"/>
  <bookViews>
    <workbookView xWindow="-108" yWindow="-108" windowWidth="23256" windowHeight="12456" xr2:uid="{5E2E3865-3FE3-4412-9D8B-6CA9A259049A}"/>
  </bookViews>
  <sheets>
    <sheet name="3109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3" i="1" l="1"/>
  <c r="Q73" i="1"/>
  <c r="R73" i="1"/>
  <c r="S73" i="1"/>
  <c r="T73" i="1"/>
  <c r="U73" i="1"/>
  <c r="V73" i="1"/>
  <c r="W73" i="1"/>
  <c r="X73" i="1"/>
  <c r="Y73" i="1"/>
  <c r="Z73" i="1"/>
  <c r="AA73" i="1"/>
  <c r="O73" i="1"/>
  <c r="L73" i="1"/>
  <c r="N73" i="1"/>
</calcChain>
</file>

<file path=xl/sharedStrings.xml><?xml version="1.0" encoding="utf-8"?>
<sst xmlns="http://schemas.openxmlformats.org/spreadsheetml/2006/main" count="442" uniqueCount="151">
  <si>
    <t>Nama GRSM</t>
  </si>
  <si>
    <t>EO</t>
  </si>
  <si>
    <t>AREA</t>
  </si>
  <si>
    <t>KODE SUBDIST</t>
  </si>
  <si>
    <t>KODE OUTLET</t>
  </si>
  <si>
    <t>Nama Outlet</t>
  </si>
  <si>
    <t>Channel</t>
  </si>
  <si>
    <t>BULAN SEPTEMBER</t>
  </si>
  <si>
    <t>GRSM 1</t>
  </si>
  <si>
    <t>BISTEM</t>
  </si>
  <si>
    <t>BANDA ACEH</t>
  </si>
  <si>
    <t>SUZUYA BANDA ACEH</t>
  </si>
  <si>
    <t>MT</t>
  </si>
  <si>
    <t>SUZUYA SIMP LIMA</t>
  </si>
  <si>
    <t>NADIA SWALAYAN (LAMPASEH)</t>
  </si>
  <si>
    <t>GMM</t>
  </si>
  <si>
    <t>ZKR SWALAYAN</t>
  </si>
  <si>
    <t>MEDAN</t>
  </si>
  <si>
    <t>IRIAN SPM - AKSARA</t>
  </si>
  <si>
    <t>IRIAN SPM - TEMBUNG</t>
  </si>
  <si>
    <t>BRASTAGI TIARA</t>
  </si>
  <si>
    <t>GRSM 2</t>
  </si>
  <si>
    <t>JAMBI</t>
  </si>
  <si>
    <t>FRESH CO</t>
  </si>
  <si>
    <t>FRESH MOON</t>
  </si>
  <si>
    <t>FRESH ONE</t>
  </si>
  <si>
    <t>FRESH STAR</t>
  </si>
  <si>
    <t>PADANG</t>
  </si>
  <si>
    <t>BUDIMAN LUBEG</t>
  </si>
  <si>
    <t>BUDIMAN ULAK KARANG (M2)</t>
  </si>
  <si>
    <t>BUDIMAN,GP</t>
  </si>
  <si>
    <t>CV.BUDIMAN KURANJI (M2)</t>
  </si>
  <si>
    <t>PT. SAHABAT JAYA SEN</t>
  </si>
  <si>
    <t xml:space="preserve">BISTEM </t>
  </si>
  <si>
    <t>BUDIMAN BALAI BARU</t>
  </si>
  <si>
    <t>PALEMBANG</t>
  </si>
  <si>
    <t>INDOGROSIR PALEMBANG</t>
  </si>
  <si>
    <t>NKA</t>
  </si>
  <si>
    <t>PT. KAGE DWIJAYA / DIAMOND</t>
  </si>
  <si>
    <t>FRESH SEKIP</t>
  </si>
  <si>
    <t>FRESH ULU</t>
  </si>
  <si>
    <t>GRSM 3A</t>
  </si>
  <si>
    <t>SUKABUMI</t>
  </si>
  <si>
    <t>YOGYA CIANJUR</t>
  </si>
  <si>
    <t>YOGYA SUKABUMI</t>
  </si>
  <si>
    <t>INDOGROSIR SUKABUMI</t>
  </si>
  <si>
    <t>GRSM 4</t>
  </si>
  <si>
    <t>CIKALONG</t>
  </si>
  <si>
    <t>ELSINTA SUKARAJA</t>
  </si>
  <si>
    <t>INDOGROSIR MEDAN</t>
  </si>
  <si>
    <t>GARUT</t>
  </si>
  <si>
    <t>CV YOMA</t>
  </si>
  <si>
    <t>TASIK</t>
  </si>
  <si>
    <t>MITRA BUANA CIKURUBUK</t>
  </si>
  <si>
    <t>YOGYA GARUT *</t>
  </si>
  <si>
    <t>GRSM 5</t>
  </si>
  <si>
    <t>DEMAK</t>
  </si>
  <si>
    <t>ANEKA JAYA HADIWIJAYA</t>
  </si>
  <si>
    <t>KENDAL</t>
  </si>
  <si>
    <t>ANEKA JAYA KENDAL</t>
  </si>
  <si>
    <t>MAGELANG</t>
  </si>
  <si>
    <t>CV ANUGRAH SEJATI</t>
  </si>
  <si>
    <t>PEMALANG</t>
  </si>
  <si>
    <t>YOGYA TEGAL</t>
  </si>
  <si>
    <t>BASA 30</t>
  </si>
  <si>
    <t>PURWOKERTO</t>
  </si>
  <si>
    <t>BRAYAN MAJU PWT</t>
  </si>
  <si>
    <t>REMBANG</t>
  </si>
  <si>
    <t>LUWES BLORA</t>
  </si>
  <si>
    <t>WANGON</t>
  </si>
  <si>
    <t>LAKSANA BARU, TK</t>
  </si>
  <si>
    <t>WONOGIRI</t>
  </si>
  <si>
    <t>BARU WONOGIRI(M2)</t>
  </si>
  <si>
    <t>KEBUMEN</t>
  </si>
  <si>
    <t>JADIBARU KEBUMEN</t>
  </si>
  <si>
    <t>BANJAR</t>
  </si>
  <si>
    <t>SAMUDRA BTC BANJARSARI</t>
  </si>
  <si>
    <t>GRSM 6</t>
  </si>
  <si>
    <t>BANYUWANGI</t>
  </si>
  <si>
    <t>CV. VIO JAYA</t>
  </si>
  <si>
    <t>BOJONEGORO</t>
  </si>
  <si>
    <t>KDS BOJONEGORO</t>
  </si>
  <si>
    <t>GENTENG</t>
  </si>
  <si>
    <t>KARUNIA DAMAI SEJATI</t>
  </si>
  <si>
    <t>VIO JAYA</t>
  </si>
  <si>
    <t>JOMBANG</t>
  </si>
  <si>
    <t>BRAVO JOMBANG</t>
  </si>
  <si>
    <t>KEDIRI KOTA</t>
  </si>
  <si>
    <t>PT. SAMUDRA SUKSES MANDIRI KEDIRI</t>
  </si>
  <si>
    <t>KOP PT GUDANG GARAM MEKAR</t>
  </si>
  <si>
    <t>LAMONGAN</t>
  </si>
  <si>
    <t>SARIKAT JAYA</t>
  </si>
  <si>
    <t>MADIUN</t>
  </si>
  <si>
    <t>SAMUDRA SUKSES MANDIRI</t>
  </si>
  <si>
    <t>NGAWI</t>
  </si>
  <si>
    <t>LUWES NGAWI</t>
  </si>
  <si>
    <t>PANDAAN</t>
  </si>
  <si>
    <t>EDY HARYONO / CITRA</t>
  </si>
  <si>
    <t>PONOROGO</t>
  </si>
  <si>
    <t>PLATINUM</t>
  </si>
  <si>
    <t>TULUNGAGUNG</t>
  </si>
  <si>
    <t>BELGA</t>
  </si>
  <si>
    <t>GRSM 7</t>
  </si>
  <si>
    <t>BALIKPAPAN</t>
  </si>
  <si>
    <t>MAXI BLK SEPINGGAN</t>
  </si>
  <si>
    <t>BANJARMASIN</t>
  </si>
  <si>
    <t>INDOGROSIR BANJARMASIN</t>
  </si>
  <si>
    <t>MM GLOW***</t>
  </si>
  <si>
    <t>MATARAM</t>
  </si>
  <si>
    <t>NIAGA PLUS</t>
  </si>
  <si>
    <t>PALANGKARAYA</t>
  </si>
  <si>
    <t>SENDYS PUTRA JAYA (A YANI)</t>
  </si>
  <si>
    <t>SAMARINDA</t>
  </si>
  <si>
    <t>GRAND TOSERBA</t>
  </si>
  <si>
    <t>AUTO SWALAYAN</t>
  </si>
  <si>
    <t>INDOGROSIR SAMARINDA</t>
  </si>
  <si>
    <t>GRSM 8</t>
  </si>
  <si>
    <t>KENDARI</t>
  </si>
  <si>
    <t>TOKO DAMAI 2</t>
  </si>
  <si>
    <t>MANADO</t>
  </si>
  <si>
    <t>GOLDEN MIP MANADO</t>
  </si>
  <si>
    <t>INDOGROSIR MANADO</t>
  </si>
  <si>
    <t>PALU</t>
  </si>
  <si>
    <t>BUMI NYIUR SWALAYAN</t>
  </si>
  <si>
    <t>GRAND HERO</t>
  </si>
  <si>
    <t>BANJARNEGARA</t>
  </si>
  <si>
    <t>SUKARTI</t>
  </si>
  <si>
    <t>PATI</t>
  </si>
  <si>
    <t>LUWES PATI</t>
  </si>
  <si>
    <t>PULAU</t>
  </si>
  <si>
    <t>#SPG</t>
  </si>
  <si>
    <t>Alokasi Homebase TL</t>
  </si>
  <si>
    <t>Jumlah TL</t>
  </si>
  <si>
    <t>LUAR JAWA</t>
  </si>
  <si>
    <t>JAWA</t>
  </si>
  <si>
    <t>TASIKMALAYA</t>
  </si>
  <si>
    <t>KEDIRI</t>
  </si>
  <si>
    <t>TOTAL</t>
  </si>
  <si>
    <t>GAS</t>
  </si>
  <si>
    <t>KOMPOR PORTABLE</t>
  </si>
  <si>
    <t>KOMPOR LISTRIK</t>
  </si>
  <si>
    <t>PANCI GAGANG</t>
  </si>
  <si>
    <t>SARINGAN MIE</t>
  </si>
  <si>
    <t>CAPITAN MIE</t>
  </si>
  <si>
    <t>NAMPAN PLASTIK</t>
  </si>
  <si>
    <t xml:space="preserve">TIMER </t>
  </si>
  <si>
    <t>MANGKOK STAINLESS</t>
  </si>
  <si>
    <t>GARPU DAN SENDOK STAINLESS</t>
  </si>
  <si>
    <t>EMBER 18 LITER</t>
  </si>
  <si>
    <t>KABEL ROLL</t>
  </si>
  <si>
    <t>GUNTING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</si>
</sst>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  <scheme val="minor"/>
    </font>
    <font>
      <sz val="10"/>
      <color rgb="FF000000"/>
      <name val="Arial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4B0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9">
    <xf numFmtId="0" fontId="0" fillId="0" borderId="0" xfId="0"/>
    <xf numFmtId="0" fontId="6" fillId="3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4" fillId="0" borderId="0" xfId="1">
      <alignment vertical="center"/>
    </xf>
    <xf numFmtId="0" fontId="3" fillId="2" borderId="1" xfId="0" applyFont="1" applyFill="1" applyBorder="1" applyAlignment="1">
      <alignment vertical="center" readingOrder="1"/>
    </xf>
    <xf numFmtId="0" fontId="0" fillId="0" borderId="1" xfId="0" applyBorder="1"/>
    <xf numFmtId="0" fontId="4" fillId="0" borderId="1" xfId="1" applyBorder="1">
      <alignment vertical="center"/>
    </xf>
    <xf numFmtId="0" fontId="8" fillId="0" borderId="1" xfId="1" applyFont="1" applyBorder="1">
      <alignment vertical="center"/>
    </xf>
    <xf numFmtId="0" fontId="0" fillId="0" borderId="1" xfId="0" applyBorder="1" applyAlignment="1">
      <alignment horizontal="center"/>
    </xf>
    <xf numFmtId="0" fontId="10" fillId="4" borderId="1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readingOrder="1"/>
    </xf>
    <xf numFmtId="0" fontId="9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 readingOrder="1"/>
    </xf>
    <xf numFmtId="0" fontId="12" fillId="5" borderId="1" xfId="0" applyFont="1" applyFill="1" applyBorder="1" applyAlignment="1">
      <alignment vertical="center" readingOrder="1"/>
    </xf>
    <xf numFmtId="0" fontId="11" fillId="5" borderId="1" xfId="0" applyFont="1" applyFill="1" applyBorder="1" applyAlignment="1">
      <alignment vertical="center" readingOrder="1"/>
    </xf>
    <xf numFmtId="0" fontId="5" fillId="0" borderId="0" xfId="1" applyFont="1">
      <alignment vertical="center"/>
    </xf>
    <xf numFmtId="0" fontId="13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3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readingOrder="1"/>
    </xf>
  </cellXfs>
  <cellStyles count="2">
    <cellStyle name="Normal" xfId="0" builtinId="0"/>
    <cellStyle name="Normal 3" xfId="1" xr:uid="{1E8E5D16-9209-4079-A215-8683AA831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D184-2AD1-4CA1-B004-26F35CEE260B}">
  <dimension ref="B1:AA73"/>
  <sheetViews>
    <sheetView showGridLines="0" tabSelected="1" zoomScale="55" zoomScaleNormal="55" workbookViewId="0">
      <selection activeCell="G16" sqref="G16"/>
    </sheetView>
  </sheetViews>
  <sheetFormatPr defaultRowHeight="14.4" x14ac:dyDescent="0.3"/>
  <cols>
    <col min="1" max="1" width="4.77734375" customWidth="1"/>
    <col min="2" max="2" width="10.44140625" bestFit="1" customWidth="1"/>
    <col min="3" max="3" width="9" bestFit="1" customWidth="1"/>
    <col min="4" max="4" width="18.44140625" bestFit="1" customWidth="1"/>
    <col min="5" max="5" width="8.5546875" bestFit="1" customWidth="1"/>
    <col min="6" max="6" width="9.77734375" bestFit="1" customWidth="1"/>
    <col min="7" max="7" width="39.88671875" bestFit="1" customWidth="1"/>
    <col min="8" max="8" width="6.33203125" bestFit="1" customWidth="1"/>
    <col min="9" max="9" width="17" bestFit="1" customWidth="1"/>
    <col min="10" max="10" width="12.33203125" style="5" bestFit="1" customWidth="1"/>
    <col min="11" max="11" width="29.21875" style="5" customWidth="1"/>
    <col min="12" max="12" width="7.77734375" style="5" customWidth="1"/>
    <col min="13" max="13" width="19.21875" style="5" customWidth="1"/>
    <col min="14" max="14" width="7.5546875" style="5" customWidth="1"/>
    <col min="15" max="15" width="14" style="5" customWidth="1"/>
    <col min="16" max="27" width="14.21875" style="5" customWidth="1"/>
  </cols>
  <sheetData>
    <row r="1" spans="2:27" x14ac:dyDescent="0.3">
      <c r="J1"/>
      <c r="K1"/>
      <c r="L1"/>
      <c r="M1"/>
      <c r="N1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2:27" ht="25.95" customHeight="1" x14ac:dyDescent="0.3">
      <c r="B2" s="28" t="s">
        <v>0</v>
      </c>
      <c r="C2" s="28" t="s">
        <v>1</v>
      </c>
      <c r="D2" s="28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7" t="s">
        <v>129</v>
      </c>
      <c r="K2" s="27" t="s">
        <v>2</v>
      </c>
      <c r="L2" s="27" t="s">
        <v>130</v>
      </c>
      <c r="M2" s="27" t="s">
        <v>131</v>
      </c>
      <c r="N2" s="27" t="s">
        <v>132</v>
      </c>
      <c r="O2" s="27" t="s">
        <v>138</v>
      </c>
      <c r="P2" s="20" t="s">
        <v>139</v>
      </c>
      <c r="Q2" s="20" t="s">
        <v>140</v>
      </c>
      <c r="R2" s="20" t="s">
        <v>141</v>
      </c>
      <c r="S2" s="20" t="s">
        <v>142</v>
      </c>
      <c r="T2" s="20" t="s">
        <v>143</v>
      </c>
      <c r="U2" s="20" t="s">
        <v>144</v>
      </c>
      <c r="V2" s="20" t="s">
        <v>145</v>
      </c>
      <c r="W2" s="20" t="s">
        <v>146</v>
      </c>
      <c r="X2" s="20" t="s">
        <v>147</v>
      </c>
      <c r="Y2" s="20" t="s">
        <v>148</v>
      </c>
      <c r="Z2" s="20" t="s">
        <v>149</v>
      </c>
      <c r="AA2" s="20" t="s">
        <v>150</v>
      </c>
    </row>
    <row r="3" spans="2:27" ht="14.55" customHeight="1" x14ac:dyDescent="0.3">
      <c r="B3" s="28"/>
      <c r="C3" s="28"/>
      <c r="D3" s="28"/>
      <c r="E3" s="28"/>
      <c r="F3" s="28"/>
      <c r="G3" s="28"/>
      <c r="H3" s="28"/>
      <c r="I3" s="28"/>
      <c r="J3" s="27"/>
      <c r="K3" s="27"/>
      <c r="L3" s="27"/>
      <c r="M3" s="27"/>
      <c r="N3" s="27"/>
      <c r="O3" s="27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2:27" ht="9.4499999999999993" customHeight="1" x14ac:dyDescent="0.3">
      <c r="B4" s="6"/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27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2:27" x14ac:dyDescent="0.3">
      <c r="B5" s="12" t="s">
        <v>8</v>
      </c>
      <c r="C5" s="12" t="s">
        <v>9</v>
      </c>
      <c r="D5" s="12" t="s">
        <v>10</v>
      </c>
      <c r="E5" s="12">
        <v>103741</v>
      </c>
      <c r="F5" s="12">
        <v>4800019</v>
      </c>
      <c r="G5" s="12" t="s">
        <v>11</v>
      </c>
      <c r="H5" s="12" t="s">
        <v>12</v>
      </c>
      <c r="I5" s="13"/>
      <c r="J5" s="11" t="s">
        <v>133</v>
      </c>
      <c r="K5" s="11"/>
      <c r="L5" s="2">
        <v>2</v>
      </c>
      <c r="M5" s="23" t="s">
        <v>17</v>
      </c>
      <c r="N5" s="23">
        <v>1</v>
      </c>
      <c r="O5" s="2">
        <v>1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27" x14ac:dyDescent="0.3">
      <c r="B6" s="12" t="s">
        <v>8</v>
      </c>
      <c r="C6" s="12" t="s">
        <v>9</v>
      </c>
      <c r="D6" s="12" t="s">
        <v>10</v>
      </c>
      <c r="E6" s="12">
        <v>103741</v>
      </c>
      <c r="F6" s="12">
        <v>4800018</v>
      </c>
      <c r="G6" s="12" t="s">
        <v>13</v>
      </c>
      <c r="H6" s="12" t="s">
        <v>12</v>
      </c>
      <c r="I6" s="13"/>
      <c r="J6" s="11" t="s">
        <v>133</v>
      </c>
      <c r="K6" s="11"/>
      <c r="L6" s="2">
        <v>2</v>
      </c>
      <c r="M6" s="23"/>
      <c r="N6" s="23"/>
      <c r="O6" s="2">
        <v>1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27" x14ac:dyDescent="0.3">
      <c r="B7" s="12" t="s">
        <v>8</v>
      </c>
      <c r="C7" s="12" t="s">
        <v>9</v>
      </c>
      <c r="D7" s="12" t="s">
        <v>10</v>
      </c>
      <c r="E7" s="12">
        <v>103742</v>
      </c>
      <c r="F7" s="12">
        <v>4705039</v>
      </c>
      <c r="G7" s="12" t="s">
        <v>14</v>
      </c>
      <c r="H7" s="12" t="s">
        <v>15</v>
      </c>
      <c r="I7" s="13"/>
      <c r="J7" s="11" t="s">
        <v>133</v>
      </c>
      <c r="K7" s="11"/>
      <c r="L7" s="2">
        <v>2</v>
      </c>
      <c r="M7" s="23"/>
      <c r="N7" s="23"/>
      <c r="O7" s="2">
        <v>1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27" x14ac:dyDescent="0.3">
      <c r="B8" s="12" t="s">
        <v>8</v>
      </c>
      <c r="C8" s="12" t="s">
        <v>9</v>
      </c>
      <c r="D8" s="12" t="s">
        <v>10</v>
      </c>
      <c r="E8" s="12">
        <v>103742</v>
      </c>
      <c r="F8" s="12">
        <v>4705278</v>
      </c>
      <c r="G8" s="12" t="s">
        <v>16</v>
      </c>
      <c r="H8" s="12" t="s">
        <v>15</v>
      </c>
      <c r="I8" s="13"/>
      <c r="J8" s="11" t="s">
        <v>133</v>
      </c>
      <c r="K8" s="11"/>
      <c r="L8" s="2">
        <v>2</v>
      </c>
      <c r="M8" s="23"/>
      <c r="N8" s="23"/>
      <c r="O8" s="2">
        <v>1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2:27" x14ac:dyDescent="0.3">
      <c r="B9" s="12" t="s">
        <v>8</v>
      </c>
      <c r="C9" s="12" t="s">
        <v>9</v>
      </c>
      <c r="D9" s="12" t="s">
        <v>17</v>
      </c>
      <c r="E9" s="12">
        <v>122506</v>
      </c>
      <c r="F9" s="12">
        <v>202936</v>
      </c>
      <c r="G9" s="12" t="s">
        <v>49</v>
      </c>
      <c r="H9" s="12" t="s">
        <v>37</v>
      </c>
      <c r="I9" s="13"/>
      <c r="J9" s="11" t="s">
        <v>134</v>
      </c>
      <c r="K9" s="11"/>
      <c r="L9" s="2">
        <v>2</v>
      </c>
      <c r="M9" s="23"/>
      <c r="N9" s="23"/>
      <c r="O9" s="2">
        <v>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8"/>
      <c r="AA9" s="18"/>
    </row>
    <row r="10" spans="2:27" x14ac:dyDescent="0.3">
      <c r="B10" s="12" t="s">
        <v>8</v>
      </c>
      <c r="C10" s="12" t="s">
        <v>9</v>
      </c>
      <c r="D10" s="12" t="s">
        <v>17</v>
      </c>
      <c r="E10" s="12">
        <v>122506</v>
      </c>
      <c r="F10" s="12">
        <v>202833</v>
      </c>
      <c r="G10" s="12" t="s">
        <v>18</v>
      </c>
      <c r="H10" s="12" t="s">
        <v>12</v>
      </c>
      <c r="I10" s="13"/>
      <c r="J10" s="11" t="s">
        <v>133</v>
      </c>
      <c r="K10" s="11"/>
      <c r="L10" s="2">
        <v>2</v>
      </c>
      <c r="M10" s="23"/>
      <c r="N10" s="23"/>
      <c r="O10" s="2">
        <v>1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27" x14ac:dyDescent="0.3">
      <c r="B11" s="12" t="s">
        <v>8</v>
      </c>
      <c r="C11" s="12" t="s">
        <v>9</v>
      </c>
      <c r="D11" s="12" t="s">
        <v>17</v>
      </c>
      <c r="E11" s="12">
        <v>122506</v>
      </c>
      <c r="F11" s="12">
        <v>202923</v>
      </c>
      <c r="G11" s="12" t="s">
        <v>19</v>
      </c>
      <c r="H11" s="12" t="s">
        <v>12</v>
      </c>
      <c r="I11" s="13"/>
      <c r="J11" s="11" t="s">
        <v>133</v>
      </c>
      <c r="K11" s="11"/>
      <c r="L11" s="2">
        <v>2</v>
      </c>
      <c r="M11" s="23"/>
      <c r="N11" s="23"/>
      <c r="O11" s="2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2:27" x14ac:dyDescent="0.3">
      <c r="B12" s="12" t="s">
        <v>8</v>
      </c>
      <c r="C12" s="12" t="s">
        <v>9</v>
      </c>
      <c r="D12" s="12" t="s">
        <v>17</v>
      </c>
      <c r="E12" s="12">
        <v>122506</v>
      </c>
      <c r="F12" s="12">
        <v>203430</v>
      </c>
      <c r="G12" s="12" t="s">
        <v>20</v>
      </c>
      <c r="H12" s="12" t="s">
        <v>12</v>
      </c>
      <c r="I12" s="13"/>
      <c r="J12" s="11" t="s">
        <v>133</v>
      </c>
      <c r="K12" s="11"/>
      <c r="L12" s="2">
        <v>2</v>
      </c>
      <c r="M12" s="23"/>
      <c r="N12" s="23"/>
      <c r="O12" s="2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2:27" x14ac:dyDescent="0.3">
      <c r="B13" s="12" t="s">
        <v>21</v>
      </c>
      <c r="C13" s="12" t="s">
        <v>9</v>
      </c>
      <c r="D13" s="12" t="s">
        <v>22</v>
      </c>
      <c r="E13" s="12">
        <v>103255</v>
      </c>
      <c r="F13" s="12">
        <v>4016766</v>
      </c>
      <c r="G13" s="12" t="s">
        <v>23</v>
      </c>
      <c r="H13" s="12" t="s">
        <v>15</v>
      </c>
      <c r="I13" s="14"/>
      <c r="J13" s="11" t="s">
        <v>133</v>
      </c>
      <c r="K13" s="11"/>
      <c r="L13" s="2">
        <v>2</v>
      </c>
      <c r="M13" s="23"/>
      <c r="N13" s="23"/>
      <c r="O13" s="2">
        <v>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2:27" x14ac:dyDescent="0.3">
      <c r="B14" s="12" t="s">
        <v>21</v>
      </c>
      <c r="C14" s="12" t="s">
        <v>9</v>
      </c>
      <c r="D14" s="12" t="s">
        <v>22</v>
      </c>
      <c r="E14" s="12">
        <v>103255</v>
      </c>
      <c r="F14" s="12">
        <v>4016766</v>
      </c>
      <c r="G14" s="12" t="s">
        <v>24</v>
      </c>
      <c r="H14" s="12" t="s">
        <v>15</v>
      </c>
      <c r="I14" s="14"/>
      <c r="J14" s="11" t="s">
        <v>133</v>
      </c>
      <c r="K14" s="11"/>
      <c r="L14" s="2">
        <v>2</v>
      </c>
      <c r="M14" s="23"/>
      <c r="N14" s="23"/>
      <c r="O14" s="2">
        <v>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2:27" x14ac:dyDescent="0.3">
      <c r="B15" s="12" t="s">
        <v>21</v>
      </c>
      <c r="C15" s="12" t="s">
        <v>9</v>
      </c>
      <c r="D15" s="12" t="s">
        <v>22</v>
      </c>
      <c r="E15" s="12">
        <v>103255</v>
      </c>
      <c r="F15" s="12">
        <v>4016766</v>
      </c>
      <c r="G15" s="12" t="s">
        <v>25</v>
      </c>
      <c r="H15" s="12" t="s">
        <v>15</v>
      </c>
      <c r="I15" s="14"/>
      <c r="J15" s="11" t="s">
        <v>133</v>
      </c>
      <c r="K15" s="11"/>
      <c r="L15" s="2">
        <v>2</v>
      </c>
      <c r="M15" s="23"/>
      <c r="N15" s="23"/>
      <c r="O15" s="2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2:27" x14ac:dyDescent="0.3">
      <c r="B16" s="12" t="s">
        <v>21</v>
      </c>
      <c r="C16" s="12" t="s">
        <v>9</v>
      </c>
      <c r="D16" s="12" t="s">
        <v>22</v>
      </c>
      <c r="E16" s="12">
        <v>103255</v>
      </c>
      <c r="F16" s="12">
        <v>4016766</v>
      </c>
      <c r="G16" s="12" t="s">
        <v>26</v>
      </c>
      <c r="H16" s="12" t="s">
        <v>15</v>
      </c>
      <c r="I16" s="14"/>
      <c r="J16" s="11" t="s">
        <v>133</v>
      </c>
      <c r="K16" s="11"/>
      <c r="L16" s="2">
        <v>2</v>
      </c>
      <c r="M16" s="23" t="s">
        <v>27</v>
      </c>
      <c r="N16" s="23">
        <v>1</v>
      </c>
      <c r="O16" s="2">
        <v>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2:27" x14ac:dyDescent="0.3">
      <c r="B17" s="12" t="s">
        <v>21</v>
      </c>
      <c r="C17" s="12" t="s">
        <v>9</v>
      </c>
      <c r="D17" s="12" t="s">
        <v>27</v>
      </c>
      <c r="E17" s="12">
        <v>103248</v>
      </c>
      <c r="F17" s="12">
        <v>8042803</v>
      </c>
      <c r="G17" s="12" t="s">
        <v>28</v>
      </c>
      <c r="H17" s="12" t="s">
        <v>15</v>
      </c>
      <c r="I17" s="14"/>
      <c r="J17" s="11" t="s">
        <v>133</v>
      </c>
      <c r="K17" s="11"/>
      <c r="L17" s="2">
        <v>2</v>
      </c>
      <c r="M17" s="23"/>
      <c r="N17" s="23"/>
      <c r="O17" s="2">
        <v>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2:27" x14ac:dyDescent="0.3">
      <c r="B18" s="12" t="s">
        <v>21</v>
      </c>
      <c r="C18" s="12" t="s">
        <v>9</v>
      </c>
      <c r="D18" s="12" t="s">
        <v>27</v>
      </c>
      <c r="E18" s="12">
        <v>103248</v>
      </c>
      <c r="F18" s="12">
        <v>8023810</v>
      </c>
      <c r="G18" s="12" t="s">
        <v>29</v>
      </c>
      <c r="H18" s="12" t="s">
        <v>15</v>
      </c>
      <c r="I18" s="14"/>
      <c r="J18" s="11" t="s">
        <v>133</v>
      </c>
      <c r="K18" s="11"/>
      <c r="L18" s="2">
        <v>2</v>
      </c>
      <c r="M18" s="23"/>
      <c r="N18" s="23"/>
      <c r="O18" s="2">
        <v>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2:27" x14ac:dyDescent="0.3">
      <c r="B19" s="12" t="s">
        <v>21</v>
      </c>
      <c r="C19" s="12" t="s">
        <v>9</v>
      </c>
      <c r="D19" s="12" t="s">
        <v>27</v>
      </c>
      <c r="E19" s="12">
        <v>103248</v>
      </c>
      <c r="F19" s="12">
        <v>8018986</v>
      </c>
      <c r="G19" s="12" t="s">
        <v>30</v>
      </c>
      <c r="H19" s="12" t="s">
        <v>15</v>
      </c>
      <c r="I19" s="14"/>
      <c r="J19" s="11" t="s">
        <v>133</v>
      </c>
      <c r="K19" s="11"/>
      <c r="L19" s="2">
        <v>2</v>
      </c>
      <c r="M19" s="23"/>
      <c r="N19" s="23"/>
      <c r="O19" s="2">
        <v>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x14ac:dyDescent="0.3">
      <c r="B20" s="12" t="s">
        <v>21</v>
      </c>
      <c r="C20" s="12" t="s">
        <v>9</v>
      </c>
      <c r="D20" s="12" t="s">
        <v>27</v>
      </c>
      <c r="E20" s="12">
        <v>103248</v>
      </c>
      <c r="F20" s="12">
        <v>8022201</v>
      </c>
      <c r="G20" s="12" t="s">
        <v>31</v>
      </c>
      <c r="H20" s="12" t="s">
        <v>15</v>
      </c>
      <c r="I20" s="14"/>
      <c r="J20" s="11" t="s">
        <v>133</v>
      </c>
      <c r="K20" s="11"/>
      <c r="L20" s="3">
        <v>2</v>
      </c>
      <c r="M20" s="23"/>
      <c r="N20" s="23"/>
      <c r="O20" s="2">
        <v>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2:27" x14ac:dyDescent="0.3">
      <c r="B21" s="12" t="s">
        <v>21</v>
      </c>
      <c r="C21" s="12" t="s">
        <v>9</v>
      </c>
      <c r="D21" s="12" t="s">
        <v>27</v>
      </c>
      <c r="E21" s="12">
        <v>103248</v>
      </c>
      <c r="F21" s="12">
        <v>8011080</v>
      </c>
      <c r="G21" s="12" t="s">
        <v>32</v>
      </c>
      <c r="H21" s="12" t="s">
        <v>15</v>
      </c>
      <c r="I21" s="14"/>
      <c r="J21" s="11" t="s">
        <v>133</v>
      </c>
      <c r="K21" s="11"/>
      <c r="L21" s="2">
        <v>2</v>
      </c>
      <c r="M21" s="23"/>
      <c r="N21" s="23"/>
      <c r="O21" s="2">
        <v>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8"/>
      <c r="AA21" s="18"/>
    </row>
    <row r="22" spans="2:27" x14ac:dyDescent="0.3">
      <c r="B22" s="12" t="s">
        <v>21</v>
      </c>
      <c r="C22" s="12" t="s">
        <v>33</v>
      </c>
      <c r="D22" s="12" t="s">
        <v>27</v>
      </c>
      <c r="E22" s="12">
        <v>103248</v>
      </c>
      <c r="F22" s="12">
        <v>8056000</v>
      </c>
      <c r="G22" s="12" t="s">
        <v>34</v>
      </c>
      <c r="H22" s="12" t="s">
        <v>15</v>
      </c>
      <c r="I22" s="14"/>
      <c r="J22" s="11" t="s">
        <v>133</v>
      </c>
      <c r="K22" s="11"/>
      <c r="L22" s="2">
        <v>2</v>
      </c>
      <c r="M22" s="23"/>
      <c r="N22" s="23"/>
      <c r="O22" s="2">
        <v>1</v>
      </c>
      <c r="P22" s="18"/>
      <c r="Q22" s="18"/>
      <c r="R22" s="18"/>
      <c r="S22" s="18"/>
      <c r="T22" s="18"/>
      <c r="U22" s="18"/>
      <c r="V22" s="18"/>
      <c r="W22" s="18"/>
      <c r="X22" s="18"/>
      <c r="Y22" s="10"/>
      <c r="Z22" s="18"/>
      <c r="AA22" s="18"/>
    </row>
    <row r="23" spans="2:27" x14ac:dyDescent="0.3">
      <c r="B23" s="12" t="s">
        <v>21</v>
      </c>
      <c r="C23" s="12" t="s">
        <v>9</v>
      </c>
      <c r="D23" s="12" t="s">
        <v>35</v>
      </c>
      <c r="E23" s="12">
        <v>189001</v>
      </c>
      <c r="F23" s="12">
        <v>2730112</v>
      </c>
      <c r="G23" s="12" t="s">
        <v>36</v>
      </c>
      <c r="H23" s="12" t="s">
        <v>37</v>
      </c>
      <c r="I23" s="14"/>
      <c r="J23" s="11" t="s">
        <v>133</v>
      </c>
      <c r="K23" s="11"/>
      <c r="L23" s="2">
        <v>2</v>
      </c>
      <c r="M23" s="23"/>
      <c r="N23" s="23"/>
      <c r="O23" s="2">
        <v>1</v>
      </c>
      <c r="P23" s="18"/>
      <c r="Q23" s="18"/>
      <c r="R23" s="18"/>
      <c r="S23" s="18"/>
      <c r="T23" s="18"/>
      <c r="U23" s="18"/>
      <c r="V23" s="18"/>
      <c r="W23" s="18"/>
      <c r="X23" s="18"/>
      <c r="Y23" s="10"/>
      <c r="Z23" s="18"/>
      <c r="AA23" s="18"/>
    </row>
    <row r="24" spans="2:27" x14ac:dyDescent="0.3">
      <c r="B24" s="12" t="s">
        <v>21</v>
      </c>
      <c r="C24" s="12" t="s">
        <v>9</v>
      </c>
      <c r="D24" s="12" t="s">
        <v>35</v>
      </c>
      <c r="E24" s="12">
        <v>189001</v>
      </c>
      <c r="F24" s="12">
        <v>9000040</v>
      </c>
      <c r="G24" s="12" t="s">
        <v>38</v>
      </c>
      <c r="H24" s="12" t="s">
        <v>37</v>
      </c>
      <c r="I24" s="14"/>
      <c r="J24" s="11" t="s">
        <v>133</v>
      </c>
      <c r="K24" s="11"/>
      <c r="L24" s="2">
        <v>2</v>
      </c>
      <c r="M24" s="23"/>
      <c r="N24" s="23"/>
      <c r="O24" s="2">
        <v>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8"/>
      <c r="AA24" s="18"/>
    </row>
    <row r="25" spans="2:27" x14ac:dyDescent="0.3">
      <c r="B25" s="12" t="s">
        <v>21</v>
      </c>
      <c r="C25" s="12" t="s">
        <v>9</v>
      </c>
      <c r="D25" s="12" t="s">
        <v>35</v>
      </c>
      <c r="E25" s="12">
        <v>211174</v>
      </c>
      <c r="F25" s="12">
        <v>7006737</v>
      </c>
      <c r="G25" s="12" t="s">
        <v>39</v>
      </c>
      <c r="H25" s="12" t="s">
        <v>15</v>
      </c>
      <c r="I25" s="14"/>
      <c r="J25" s="11" t="s">
        <v>133</v>
      </c>
      <c r="K25" s="11"/>
      <c r="L25" s="2">
        <v>2</v>
      </c>
      <c r="M25" s="23"/>
      <c r="N25" s="23"/>
      <c r="O25" s="2">
        <v>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8"/>
      <c r="AA25" s="18"/>
    </row>
    <row r="26" spans="2:27" x14ac:dyDescent="0.3">
      <c r="B26" s="12" t="s">
        <v>21</v>
      </c>
      <c r="C26" s="12" t="s">
        <v>9</v>
      </c>
      <c r="D26" s="12" t="s">
        <v>35</v>
      </c>
      <c r="E26" s="12">
        <v>211174</v>
      </c>
      <c r="F26" s="12">
        <v>7006737</v>
      </c>
      <c r="G26" s="12" t="s">
        <v>40</v>
      </c>
      <c r="H26" s="12" t="s">
        <v>15</v>
      </c>
      <c r="I26" s="14"/>
      <c r="J26" s="11" t="s">
        <v>133</v>
      </c>
      <c r="K26" s="11"/>
      <c r="L26" s="2">
        <v>2</v>
      </c>
      <c r="M26" s="23"/>
      <c r="N26" s="23"/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x14ac:dyDescent="0.3">
      <c r="B27" s="12" t="s">
        <v>41</v>
      </c>
      <c r="C27" s="12" t="s">
        <v>9</v>
      </c>
      <c r="D27" s="12" t="s">
        <v>42</v>
      </c>
      <c r="E27" s="12">
        <v>189902</v>
      </c>
      <c r="F27" s="12">
        <v>5190015</v>
      </c>
      <c r="G27" s="12" t="s">
        <v>43</v>
      </c>
      <c r="H27" s="12" t="s">
        <v>37</v>
      </c>
      <c r="I27" s="14"/>
      <c r="J27" s="11" t="s">
        <v>134</v>
      </c>
      <c r="K27" s="11"/>
      <c r="L27" s="2">
        <v>2</v>
      </c>
      <c r="M27" s="23" t="s">
        <v>135</v>
      </c>
      <c r="N27" s="23">
        <v>1</v>
      </c>
      <c r="O27" s="2">
        <v>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8"/>
      <c r="AA27" s="18"/>
    </row>
    <row r="28" spans="2:27" x14ac:dyDescent="0.3">
      <c r="B28" s="12" t="s">
        <v>41</v>
      </c>
      <c r="C28" s="12" t="s">
        <v>9</v>
      </c>
      <c r="D28" s="12" t="s">
        <v>42</v>
      </c>
      <c r="E28" s="12">
        <v>189902</v>
      </c>
      <c r="F28" s="12">
        <v>5190016</v>
      </c>
      <c r="G28" s="12" t="s">
        <v>44</v>
      </c>
      <c r="H28" s="12" t="s">
        <v>37</v>
      </c>
      <c r="I28" s="14"/>
      <c r="J28" s="11" t="s">
        <v>134</v>
      </c>
      <c r="K28" s="11"/>
      <c r="L28" s="2">
        <v>2</v>
      </c>
      <c r="M28" s="23"/>
      <c r="N28" s="23"/>
      <c r="O28" s="2">
        <v>1</v>
      </c>
      <c r="P28" s="2">
        <v>1</v>
      </c>
      <c r="Q28" s="2"/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</row>
    <row r="29" spans="2:27" x14ac:dyDescent="0.3">
      <c r="B29" s="12" t="s">
        <v>41</v>
      </c>
      <c r="C29" s="12" t="s">
        <v>9</v>
      </c>
      <c r="D29" s="12" t="s">
        <v>42</v>
      </c>
      <c r="E29" s="12">
        <v>189902</v>
      </c>
      <c r="F29" s="12">
        <v>9000625</v>
      </c>
      <c r="G29" s="12" t="s">
        <v>45</v>
      </c>
      <c r="H29" s="12" t="s">
        <v>37</v>
      </c>
      <c r="I29" s="14"/>
      <c r="J29" s="11" t="s">
        <v>134</v>
      </c>
      <c r="K29" s="11"/>
      <c r="L29" s="2">
        <v>2</v>
      </c>
      <c r="M29" s="23"/>
      <c r="N29" s="23"/>
      <c r="O29" s="2">
        <v>1</v>
      </c>
      <c r="P29" s="2">
        <v>1</v>
      </c>
      <c r="Q29" s="2"/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</row>
    <row r="30" spans="2:27" x14ac:dyDescent="0.3">
      <c r="B30" s="12" t="s">
        <v>46</v>
      </c>
      <c r="C30" s="12" t="s">
        <v>9</v>
      </c>
      <c r="D30" s="12" t="s">
        <v>47</v>
      </c>
      <c r="E30" s="12">
        <v>103391</v>
      </c>
      <c r="F30" s="12">
        <v>9400301</v>
      </c>
      <c r="G30" s="12" t="s">
        <v>48</v>
      </c>
      <c r="H30" s="12" t="s">
        <v>15</v>
      </c>
      <c r="I30" s="14"/>
      <c r="J30" s="11" t="s">
        <v>134</v>
      </c>
      <c r="K30" s="11"/>
      <c r="L30" s="2">
        <v>2</v>
      </c>
      <c r="M30" s="23"/>
      <c r="N30" s="23"/>
      <c r="O30" s="2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8"/>
      <c r="AA30" s="18"/>
    </row>
    <row r="31" spans="2:27" x14ac:dyDescent="0.3">
      <c r="B31" s="12" t="s">
        <v>46</v>
      </c>
      <c r="C31" s="12" t="s">
        <v>9</v>
      </c>
      <c r="D31" s="12" t="s">
        <v>50</v>
      </c>
      <c r="E31" s="12">
        <v>103257</v>
      </c>
      <c r="F31" s="12">
        <v>9114102</v>
      </c>
      <c r="G31" s="12" t="s">
        <v>51</v>
      </c>
      <c r="H31" s="12" t="s">
        <v>15</v>
      </c>
      <c r="I31" s="14"/>
      <c r="J31" s="11" t="s">
        <v>134</v>
      </c>
      <c r="K31" s="11"/>
      <c r="L31" s="2">
        <v>2</v>
      </c>
      <c r="M31" s="23"/>
      <c r="N31" s="23"/>
      <c r="O31" s="2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8"/>
      <c r="AA31" s="18"/>
    </row>
    <row r="32" spans="2:27" x14ac:dyDescent="0.3">
      <c r="B32" s="12" t="s">
        <v>46</v>
      </c>
      <c r="C32" s="12" t="s">
        <v>9</v>
      </c>
      <c r="D32" s="12" t="s">
        <v>52</v>
      </c>
      <c r="E32" s="12">
        <v>103259</v>
      </c>
      <c r="F32" s="12">
        <v>9006180</v>
      </c>
      <c r="G32" s="12" t="s">
        <v>53</v>
      </c>
      <c r="H32" s="12" t="s">
        <v>15</v>
      </c>
      <c r="I32" s="14"/>
      <c r="J32" s="11" t="s">
        <v>134</v>
      </c>
      <c r="K32" s="11"/>
      <c r="L32" s="2">
        <v>2</v>
      </c>
      <c r="M32" s="23"/>
      <c r="N32" s="23"/>
      <c r="O32" s="2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8"/>
      <c r="AA32" s="18"/>
    </row>
    <row r="33" spans="2:27" x14ac:dyDescent="0.3">
      <c r="B33" s="12" t="s">
        <v>46</v>
      </c>
      <c r="C33" s="12" t="s">
        <v>9</v>
      </c>
      <c r="D33" s="12" t="s">
        <v>52</v>
      </c>
      <c r="E33" s="12">
        <v>189901</v>
      </c>
      <c r="F33" s="12">
        <v>1602019</v>
      </c>
      <c r="G33" s="12" t="s">
        <v>54</v>
      </c>
      <c r="H33" s="12" t="s">
        <v>37</v>
      </c>
      <c r="I33" s="14"/>
      <c r="J33" s="11" t="s">
        <v>134</v>
      </c>
      <c r="K33" s="11"/>
      <c r="L33" s="2">
        <v>2</v>
      </c>
      <c r="M33" s="23"/>
      <c r="N33" s="23"/>
      <c r="O33" s="2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2:27" x14ac:dyDescent="0.3">
      <c r="B34" s="15" t="s">
        <v>46</v>
      </c>
      <c r="C34" s="15" t="s">
        <v>9</v>
      </c>
      <c r="D34" s="15" t="s">
        <v>75</v>
      </c>
      <c r="E34" s="15">
        <v>103258</v>
      </c>
      <c r="F34" s="15">
        <v>9210368</v>
      </c>
      <c r="G34" s="15" t="s">
        <v>76</v>
      </c>
      <c r="H34" s="15" t="s">
        <v>15</v>
      </c>
      <c r="I34" s="16"/>
      <c r="J34" s="11" t="s">
        <v>134</v>
      </c>
      <c r="K34" s="11"/>
      <c r="L34" s="2">
        <v>2</v>
      </c>
      <c r="M34" s="23"/>
      <c r="N34" s="23"/>
      <c r="O34" s="18">
        <v>1</v>
      </c>
      <c r="P34" s="18">
        <v>1</v>
      </c>
      <c r="Q34" s="10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 x14ac:dyDescent="0.3">
      <c r="B35" s="12" t="s">
        <v>55</v>
      </c>
      <c r="C35" s="12" t="s">
        <v>9</v>
      </c>
      <c r="D35" s="12" t="s">
        <v>56</v>
      </c>
      <c r="E35" s="12">
        <v>211191</v>
      </c>
      <c r="F35" s="12">
        <v>5956212</v>
      </c>
      <c r="G35" s="12" t="s">
        <v>57</v>
      </c>
      <c r="H35" s="12" t="s">
        <v>15</v>
      </c>
      <c r="I35" s="14"/>
      <c r="J35" s="11" t="s">
        <v>134</v>
      </c>
      <c r="K35" s="11"/>
      <c r="L35" s="2">
        <v>2</v>
      </c>
      <c r="M35" s="23" t="s">
        <v>65</v>
      </c>
      <c r="N35" s="23">
        <v>1</v>
      </c>
      <c r="O35" s="18">
        <v>1</v>
      </c>
      <c r="P35" s="18">
        <v>1</v>
      </c>
      <c r="Q35" s="18"/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/>
      <c r="AA35" s="18">
        <v>1</v>
      </c>
    </row>
    <row r="36" spans="2:27" x14ac:dyDescent="0.3">
      <c r="B36" s="12" t="s">
        <v>55</v>
      </c>
      <c r="C36" s="12" t="s">
        <v>9</v>
      </c>
      <c r="D36" s="12" t="s">
        <v>58</v>
      </c>
      <c r="E36" s="12">
        <v>211050</v>
      </c>
      <c r="F36" s="12">
        <v>2005689</v>
      </c>
      <c r="G36" s="12" t="s">
        <v>59</v>
      </c>
      <c r="H36" s="12" t="s">
        <v>15</v>
      </c>
      <c r="I36" s="14"/>
      <c r="J36" s="11" t="s">
        <v>134</v>
      </c>
      <c r="K36" s="11"/>
      <c r="L36" s="2">
        <v>2</v>
      </c>
      <c r="M36" s="23"/>
      <c r="N36" s="23"/>
      <c r="O36" s="18">
        <v>1</v>
      </c>
      <c r="P36" s="18">
        <v>1</v>
      </c>
      <c r="Q36" s="10"/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/>
      <c r="AA36" s="18">
        <v>1</v>
      </c>
    </row>
    <row r="37" spans="2:27" x14ac:dyDescent="0.3">
      <c r="B37" s="12" t="s">
        <v>55</v>
      </c>
      <c r="C37" s="12" t="s">
        <v>9</v>
      </c>
      <c r="D37" s="12" t="s">
        <v>60</v>
      </c>
      <c r="E37" s="12">
        <v>103274</v>
      </c>
      <c r="F37" s="12">
        <v>1330015</v>
      </c>
      <c r="G37" s="12" t="s">
        <v>61</v>
      </c>
      <c r="H37" s="12" t="s">
        <v>15</v>
      </c>
      <c r="I37" s="14"/>
      <c r="J37" s="11" t="s">
        <v>134</v>
      </c>
      <c r="K37" s="11"/>
      <c r="L37" s="2">
        <v>2</v>
      </c>
      <c r="M37" s="23"/>
      <c r="N37" s="23"/>
      <c r="O37" s="18">
        <v>1</v>
      </c>
      <c r="P37" s="18">
        <v>1</v>
      </c>
      <c r="Q37" s="10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x14ac:dyDescent="0.3">
      <c r="B38" s="12" t="s">
        <v>55</v>
      </c>
      <c r="C38" s="12" t="s">
        <v>9</v>
      </c>
      <c r="D38" s="12" t="s">
        <v>62</v>
      </c>
      <c r="E38" s="12">
        <v>211051</v>
      </c>
      <c r="F38" s="12">
        <v>5580015</v>
      </c>
      <c r="G38" s="12" t="s">
        <v>63</v>
      </c>
      <c r="H38" s="12" t="s">
        <v>12</v>
      </c>
      <c r="I38" s="14"/>
      <c r="J38" s="11" t="s">
        <v>134</v>
      </c>
      <c r="K38" s="11"/>
      <c r="L38" s="2">
        <v>2</v>
      </c>
      <c r="M38" s="23"/>
      <c r="N38" s="23"/>
      <c r="O38" s="18">
        <v>1</v>
      </c>
      <c r="P38" s="18">
        <v>1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x14ac:dyDescent="0.3">
      <c r="B39" s="12" t="s">
        <v>55</v>
      </c>
      <c r="C39" s="12" t="s">
        <v>9</v>
      </c>
      <c r="D39" s="12" t="s">
        <v>62</v>
      </c>
      <c r="E39" s="12">
        <v>211051</v>
      </c>
      <c r="F39" s="12">
        <v>5836265</v>
      </c>
      <c r="G39" s="12" t="s">
        <v>64</v>
      </c>
      <c r="H39" s="12" t="s">
        <v>15</v>
      </c>
      <c r="I39" s="14"/>
      <c r="J39" s="11" t="s">
        <v>134</v>
      </c>
      <c r="K39" s="11"/>
      <c r="L39" s="2">
        <v>2</v>
      </c>
      <c r="M39" s="23"/>
      <c r="N39" s="23"/>
      <c r="O39" s="18">
        <v>1</v>
      </c>
      <c r="P39" s="18">
        <v>1</v>
      </c>
      <c r="Q39" s="2"/>
      <c r="R39" s="18"/>
      <c r="S39" s="18"/>
      <c r="T39" s="18"/>
      <c r="U39" s="10"/>
      <c r="V39" s="10"/>
      <c r="W39" s="10"/>
      <c r="X39" s="10"/>
      <c r="Y39" s="10"/>
      <c r="Z39" s="18"/>
      <c r="AA39" s="18"/>
    </row>
    <row r="40" spans="2:27" x14ac:dyDescent="0.3">
      <c r="B40" s="12" t="s">
        <v>55</v>
      </c>
      <c r="C40" s="12" t="s">
        <v>9</v>
      </c>
      <c r="D40" s="12" t="s">
        <v>65</v>
      </c>
      <c r="E40" s="12">
        <v>211110</v>
      </c>
      <c r="F40" s="12">
        <v>2009004</v>
      </c>
      <c r="G40" s="12" t="s">
        <v>66</v>
      </c>
      <c r="H40" s="12" t="s">
        <v>15</v>
      </c>
      <c r="I40" s="14"/>
      <c r="J40" s="11" t="s">
        <v>134</v>
      </c>
      <c r="K40" s="11"/>
      <c r="L40" s="2">
        <v>2</v>
      </c>
      <c r="M40" s="23"/>
      <c r="N40" s="23"/>
      <c r="O40" s="18">
        <v>1</v>
      </c>
      <c r="P40" s="2"/>
      <c r="Q40" s="2"/>
      <c r="R40" s="18"/>
      <c r="S40" s="18"/>
      <c r="T40" s="18"/>
      <c r="U40" s="10"/>
      <c r="V40" s="10"/>
      <c r="W40" s="10"/>
      <c r="X40" s="10"/>
      <c r="Y40" s="10"/>
      <c r="Z40" s="18"/>
      <c r="AA40" s="18"/>
    </row>
    <row r="41" spans="2:27" x14ac:dyDescent="0.3">
      <c r="B41" s="12" t="s">
        <v>55</v>
      </c>
      <c r="C41" s="12" t="s">
        <v>9</v>
      </c>
      <c r="D41" s="12" t="s">
        <v>67</v>
      </c>
      <c r="E41" s="12">
        <v>166102</v>
      </c>
      <c r="F41" s="12">
        <v>9000762</v>
      </c>
      <c r="G41" s="12" t="s">
        <v>68</v>
      </c>
      <c r="H41" s="12" t="s">
        <v>12</v>
      </c>
      <c r="I41" s="14"/>
      <c r="J41" s="11" t="s">
        <v>134</v>
      </c>
      <c r="K41" s="11"/>
      <c r="L41" s="2">
        <v>2</v>
      </c>
      <c r="M41" s="23"/>
      <c r="N41" s="23"/>
      <c r="O41" s="18">
        <v>1</v>
      </c>
      <c r="P41" s="10"/>
      <c r="Q41" s="10"/>
      <c r="R41" s="18"/>
      <c r="S41" s="18"/>
      <c r="T41" s="18"/>
      <c r="U41" s="10"/>
      <c r="V41" s="10"/>
      <c r="W41" s="10"/>
      <c r="X41" s="10"/>
      <c r="Y41" s="10"/>
      <c r="Z41" s="18"/>
      <c r="AA41" s="18"/>
    </row>
    <row r="42" spans="2:27" x14ac:dyDescent="0.3">
      <c r="B42" s="12" t="s">
        <v>55</v>
      </c>
      <c r="C42" s="12" t="s">
        <v>9</v>
      </c>
      <c r="D42" s="12" t="s">
        <v>69</v>
      </c>
      <c r="E42" s="12">
        <v>211112</v>
      </c>
      <c r="F42" s="12">
        <v>2101702</v>
      </c>
      <c r="G42" s="12" t="s">
        <v>70</v>
      </c>
      <c r="H42" s="12" t="s">
        <v>15</v>
      </c>
      <c r="I42" s="14"/>
      <c r="J42" s="11" t="s">
        <v>134</v>
      </c>
      <c r="K42" s="11"/>
      <c r="L42" s="2">
        <v>2</v>
      </c>
      <c r="M42" s="23"/>
      <c r="N42" s="23"/>
      <c r="O42" s="18">
        <v>1</v>
      </c>
      <c r="P42" s="18">
        <v>1</v>
      </c>
      <c r="Q42" s="10"/>
      <c r="R42" s="18"/>
      <c r="S42" s="18"/>
      <c r="T42" s="18"/>
      <c r="U42" s="10"/>
      <c r="V42" s="10"/>
      <c r="W42" s="10"/>
      <c r="X42" s="10"/>
      <c r="Y42" s="10"/>
      <c r="Z42" s="18"/>
      <c r="AA42" s="18"/>
    </row>
    <row r="43" spans="2:27" x14ac:dyDescent="0.3">
      <c r="B43" s="12" t="s">
        <v>55</v>
      </c>
      <c r="C43" s="12" t="s">
        <v>9</v>
      </c>
      <c r="D43" s="12" t="s">
        <v>71</v>
      </c>
      <c r="E43" s="12">
        <v>211179</v>
      </c>
      <c r="F43" s="12">
        <v>1701915</v>
      </c>
      <c r="G43" s="12" t="s">
        <v>72</v>
      </c>
      <c r="H43" s="12" t="s">
        <v>15</v>
      </c>
      <c r="I43" s="14"/>
      <c r="J43" s="11" t="s">
        <v>134</v>
      </c>
      <c r="K43" s="11"/>
      <c r="L43" s="2">
        <v>2</v>
      </c>
      <c r="M43" s="23"/>
      <c r="N43" s="23"/>
      <c r="O43" s="18">
        <v>1</v>
      </c>
      <c r="P43" s="18">
        <v>1</v>
      </c>
      <c r="Q43" s="10"/>
      <c r="R43" s="18">
        <v>1</v>
      </c>
      <c r="S43" s="18">
        <v>1</v>
      </c>
      <c r="T43" s="18">
        <v>1</v>
      </c>
      <c r="U43" s="18">
        <v>1</v>
      </c>
      <c r="V43" s="18">
        <v>1</v>
      </c>
      <c r="W43" s="18">
        <v>1</v>
      </c>
      <c r="X43" s="18">
        <v>1</v>
      </c>
      <c r="Y43" s="18">
        <v>1</v>
      </c>
      <c r="Z43" s="18"/>
      <c r="AA43" s="18">
        <v>1</v>
      </c>
    </row>
    <row r="44" spans="2:27" x14ac:dyDescent="0.3">
      <c r="B44" s="12" t="s">
        <v>55</v>
      </c>
      <c r="C44" s="12" t="s">
        <v>9</v>
      </c>
      <c r="D44" s="12" t="s">
        <v>73</v>
      </c>
      <c r="E44" s="12">
        <v>165100</v>
      </c>
      <c r="F44" s="12">
        <v>1901071</v>
      </c>
      <c r="G44" s="12" t="s">
        <v>74</v>
      </c>
      <c r="H44" s="12" t="s">
        <v>12</v>
      </c>
      <c r="I44" s="14"/>
      <c r="J44" s="11" t="s">
        <v>134</v>
      </c>
      <c r="K44" s="11"/>
      <c r="L44" s="2">
        <v>2</v>
      </c>
      <c r="M44" s="23"/>
      <c r="N44" s="23"/>
      <c r="O44" s="18">
        <v>1</v>
      </c>
      <c r="P44" s="18">
        <v>1</v>
      </c>
      <c r="Q44" s="10"/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/>
      <c r="AA44" s="18">
        <v>1</v>
      </c>
    </row>
    <row r="45" spans="2:27" x14ac:dyDescent="0.3">
      <c r="B45" s="15" t="s">
        <v>55</v>
      </c>
      <c r="C45" s="15" t="s">
        <v>9</v>
      </c>
      <c r="D45" s="15" t="s">
        <v>125</v>
      </c>
      <c r="E45" s="15">
        <v>103631</v>
      </c>
      <c r="F45" s="15">
        <v>1916232</v>
      </c>
      <c r="G45" s="15" t="s">
        <v>126</v>
      </c>
      <c r="H45" s="15" t="s">
        <v>15</v>
      </c>
      <c r="I45" s="15"/>
      <c r="J45" s="11" t="s">
        <v>134</v>
      </c>
      <c r="K45" s="11"/>
      <c r="L45" s="2">
        <v>2</v>
      </c>
      <c r="M45" s="23"/>
      <c r="N45" s="23"/>
      <c r="O45" s="18">
        <v>1</v>
      </c>
      <c r="P45" s="18">
        <v>1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2:27" x14ac:dyDescent="0.3">
      <c r="B46" s="15" t="s">
        <v>55</v>
      </c>
      <c r="C46" s="15" t="s">
        <v>9</v>
      </c>
      <c r="D46" s="15" t="s">
        <v>127</v>
      </c>
      <c r="E46" s="15">
        <v>211129</v>
      </c>
      <c r="F46" s="15">
        <v>1600062</v>
      </c>
      <c r="G46" s="15" t="s">
        <v>128</v>
      </c>
      <c r="H46" s="15" t="s">
        <v>12</v>
      </c>
      <c r="I46" s="15"/>
      <c r="J46" s="11" t="s">
        <v>134</v>
      </c>
      <c r="K46" s="11"/>
      <c r="L46" s="2">
        <v>2</v>
      </c>
      <c r="M46" s="23"/>
      <c r="N46" s="23"/>
      <c r="O46" s="18">
        <v>1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2:27" x14ac:dyDescent="0.3">
      <c r="B47" s="12" t="s">
        <v>77</v>
      </c>
      <c r="C47" s="12" t="s">
        <v>9</v>
      </c>
      <c r="D47" s="12" t="s">
        <v>78</v>
      </c>
      <c r="E47" s="12">
        <v>211139</v>
      </c>
      <c r="F47" s="12">
        <v>3604497</v>
      </c>
      <c r="G47" s="12" t="s">
        <v>79</v>
      </c>
      <c r="H47" s="12" t="s">
        <v>15</v>
      </c>
      <c r="I47" s="14"/>
      <c r="J47" s="11" t="s">
        <v>134</v>
      </c>
      <c r="K47" s="11"/>
      <c r="L47" s="2">
        <v>2</v>
      </c>
      <c r="M47" s="23" t="s">
        <v>136</v>
      </c>
      <c r="N47" s="23">
        <v>1</v>
      </c>
      <c r="O47" s="2">
        <v>1</v>
      </c>
      <c r="P47" s="2"/>
      <c r="Q47" s="2"/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/>
      <c r="AA47" s="2">
        <v>1</v>
      </c>
    </row>
    <row r="48" spans="2:27" x14ac:dyDescent="0.3">
      <c r="B48" s="12" t="s">
        <v>77</v>
      </c>
      <c r="C48" s="12" t="s">
        <v>9</v>
      </c>
      <c r="D48" s="12" t="s">
        <v>80</v>
      </c>
      <c r="E48" s="12">
        <v>103532</v>
      </c>
      <c r="F48" s="12">
        <v>9303782</v>
      </c>
      <c r="G48" s="12" t="s">
        <v>81</v>
      </c>
      <c r="H48" s="12" t="s">
        <v>15</v>
      </c>
      <c r="I48" s="14"/>
      <c r="J48" s="11" t="s">
        <v>134</v>
      </c>
      <c r="K48" s="11"/>
      <c r="L48" s="2">
        <v>2</v>
      </c>
      <c r="M48" s="23"/>
      <c r="N48" s="23"/>
      <c r="O48" s="2"/>
      <c r="P48" s="2"/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</row>
    <row r="49" spans="2:27" x14ac:dyDescent="0.3">
      <c r="B49" s="12" t="s">
        <v>77</v>
      </c>
      <c r="C49" s="12" t="s">
        <v>9</v>
      </c>
      <c r="D49" s="12" t="s">
        <v>82</v>
      </c>
      <c r="E49" s="12">
        <v>211188</v>
      </c>
      <c r="F49" s="12">
        <v>3620080</v>
      </c>
      <c r="G49" s="12" t="s">
        <v>83</v>
      </c>
      <c r="H49" s="12" t="s">
        <v>15</v>
      </c>
      <c r="I49" s="14"/>
      <c r="J49" s="11" t="s">
        <v>134</v>
      </c>
      <c r="K49" s="11"/>
      <c r="L49" s="2">
        <v>2</v>
      </c>
      <c r="M49" s="23"/>
      <c r="N49" s="23"/>
      <c r="O49" s="2">
        <v>1</v>
      </c>
      <c r="P49" s="8"/>
      <c r="Q49" s="8"/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/>
      <c r="AA49" s="2">
        <v>1</v>
      </c>
    </row>
    <row r="50" spans="2:27" x14ac:dyDescent="0.3">
      <c r="B50" s="12" t="s">
        <v>77</v>
      </c>
      <c r="C50" s="12" t="s">
        <v>9</v>
      </c>
      <c r="D50" s="12" t="s">
        <v>82</v>
      </c>
      <c r="E50" s="12">
        <v>211188</v>
      </c>
      <c r="F50" s="12">
        <v>3620082</v>
      </c>
      <c r="G50" s="12" t="s">
        <v>84</v>
      </c>
      <c r="H50" s="12" t="s">
        <v>15</v>
      </c>
      <c r="I50" s="14"/>
      <c r="J50" s="11" t="s">
        <v>134</v>
      </c>
      <c r="K50" s="11"/>
      <c r="L50" s="2">
        <v>2</v>
      </c>
      <c r="M50" s="23"/>
      <c r="N50" s="23"/>
      <c r="O50" s="2">
        <v>1</v>
      </c>
      <c r="P50" s="8"/>
      <c r="Q50" s="8"/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/>
      <c r="AA50" s="2">
        <v>1</v>
      </c>
    </row>
    <row r="51" spans="2:27" x14ac:dyDescent="0.3">
      <c r="B51" s="12" t="s">
        <v>77</v>
      </c>
      <c r="C51" s="12" t="s">
        <v>9</v>
      </c>
      <c r="D51" s="12" t="s">
        <v>85</v>
      </c>
      <c r="E51" s="12">
        <v>103227</v>
      </c>
      <c r="F51" s="12">
        <v>3903853</v>
      </c>
      <c r="G51" s="12" t="s">
        <v>86</v>
      </c>
      <c r="H51" s="12" t="s">
        <v>15</v>
      </c>
      <c r="I51" s="14"/>
      <c r="J51" s="11" t="s">
        <v>134</v>
      </c>
      <c r="K51" s="11"/>
      <c r="L51" s="2">
        <v>2</v>
      </c>
      <c r="M51" s="23"/>
      <c r="N51" s="23"/>
      <c r="O51" s="2">
        <v>1</v>
      </c>
      <c r="P51" s="8"/>
      <c r="Q51" s="8"/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/>
      <c r="AA51" s="2">
        <v>1</v>
      </c>
    </row>
    <row r="52" spans="2:27" x14ac:dyDescent="0.3">
      <c r="B52" s="12" t="s">
        <v>77</v>
      </c>
      <c r="C52" s="12" t="s">
        <v>9</v>
      </c>
      <c r="D52" s="12" t="s">
        <v>87</v>
      </c>
      <c r="E52" s="12">
        <v>211180</v>
      </c>
      <c r="F52" s="12">
        <v>3209926</v>
      </c>
      <c r="G52" s="12" t="s">
        <v>88</v>
      </c>
      <c r="H52" s="12" t="s">
        <v>15</v>
      </c>
      <c r="I52" s="14"/>
      <c r="J52" s="11" t="s">
        <v>134</v>
      </c>
      <c r="K52" s="11"/>
      <c r="L52" s="2">
        <v>2</v>
      </c>
      <c r="M52" s="23"/>
      <c r="N52" s="23"/>
      <c r="O52" s="2">
        <v>1</v>
      </c>
      <c r="P52" s="8"/>
      <c r="Q52" s="8"/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/>
      <c r="AA52" s="2">
        <v>1</v>
      </c>
    </row>
    <row r="53" spans="2:27" x14ac:dyDescent="0.3">
      <c r="B53" s="12" t="s">
        <v>77</v>
      </c>
      <c r="C53" s="12" t="s">
        <v>9</v>
      </c>
      <c r="D53" s="12" t="s">
        <v>87</v>
      </c>
      <c r="E53" s="12">
        <v>211180</v>
      </c>
      <c r="F53" s="12">
        <v>3208661</v>
      </c>
      <c r="G53" s="12" t="s">
        <v>89</v>
      </c>
      <c r="H53" s="12" t="s">
        <v>15</v>
      </c>
      <c r="I53" s="14"/>
      <c r="J53" s="11" t="s">
        <v>134</v>
      </c>
      <c r="K53" s="11"/>
      <c r="L53" s="2">
        <v>2</v>
      </c>
      <c r="M53" s="23"/>
      <c r="N53" s="23"/>
      <c r="O53" s="2">
        <v>1</v>
      </c>
      <c r="P53" s="8"/>
      <c r="Q53" s="8"/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/>
      <c r="AA53" s="2">
        <v>1</v>
      </c>
    </row>
    <row r="54" spans="2:27" x14ac:dyDescent="0.3">
      <c r="B54" s="12" t="s">
        <v>77</v>
      </c>
      <c r="C54" s="12" t="s">
        <v>9</v>
      </c>
      <c r="D54" s="12" t="s">
        <v>90</v>
      </c>
      <c r="E54" s="12">
        <v>103696</v>
      </c>
      <c r="F54" s="12">
        <v>4208997</v>
      </c>
      <c r="G54" s="12" t="s">
        <v>91</v>
      </c>
      <c r="H54" s="12" t="s">
        <v>15</v>
      </c>
      <c r="I54" s="14"/>
      <c r="J54" s="11" t="s">
        <v>134</v>
      </c>
      <c r="K54" s="11"/>
      <c r="L54" s="2">
        <v>2</v>
      </c>
      <c r="M54" s="23"/>
      <c r="N54" s="23"/>
      <c r="O54" s="2"/>
      <c r="P54" s="8"/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</row>
    <row r="55" spans="2:27" x14ac:dyDescent="0.3">
      <c r="B55" s="12" t="s">
        <v>77</v>
      </c>
      <c r="C55" s="12" t="s">
        <v>9</v>
      </c>
      <c r="D55" s="12" t="s">
        <v>92</v>
      </c>
      <c r="E55" s="12">
        <v>103207</v>
      </c>
      <c r="F55" s="12">
        <v>3434420</v>
      </c>
      <c r="G55" s="12" t="s">
        <v>93</v>
      </c>
      <c r="H55" s="12" t="s">
        <v>15</v>
      </c>
      <c r="I55" s="14"/>
      <c r="J55" s="11" t="s">
        <v>134</v>
      </c>
      <c r="K55" s="11"/>
      <c r="L55" s="2">
        <v>2</v>
      </c>
      <c r="M55" s="23"/>
      <c r="N55" s="23"/>
      <c r="O55" s="2">
        <v>1</v>
      </c>
      <c r="P55" s="2">
        <v>1</v>
      </c>
      <c r="Q55" s="2"/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/>
      <c r="AA55" s="2">
        <v>1</v>
      </c>
    </row>
    <row r="56" spans="2:27" x14ac:dyDescent="0.3">
      <c r="B56" s="12" t="s">
        <v>77</v>
      </c>
      <c r="C56" s="12" t="s">
        <v>9</v>
      </c>
      <c r="D56" s="12" t="s">
        <v>94</v>
      </c>
      <c r="E56" s="12">
        <v>103519</v>
      </c>
      <c r="F56" s="12">
        <v>4703043</v>
      </c>
      <c r="G56" s="12" t="s">
        <v>95</v>
      </c>
      <c r="H56" s="12" t="s">
        <v>15</v>
      </c>
      <c r="I56" s="14"/>
      <c r="J56" s="11" t="s">
        <v>134</v>
      </c>
      <c r="K56" s="11"/>
      <c r="L56" s="2">
        <v>2</v>
      </c>
      <c r="M56" s="23"/>
      <c r="N56" s="23"/>
      <c r="O56" s="2">
        <v>1</v>
      </c>
      <c r="P56" s="2">
        <v>1</v>
      </c>
      <c r="Q56" s="2"/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/>
      <c r="AA56" s="2">
        <v>1</v>
      </c>
    </row>
    <row r="57" spans="2:27" x14ac:dyDescent="0.3">
      <c r="B57" s="12" t="s">
        <v>77</v>
      </c>
      <c r="C57" s="12" t="s">
        <v>9</v>
      </c>
      <c r="D57" s="12" t="s">
        <v>96</v>
      </c>
      <c r="E57" s="12">
        <v>103587</v>
      </c>
      <c r="F57" s="12">
        <v>4101594</v>
      </c>
      <c r="G57" s="12" t="s">
        <v>97</v>
      </c>
      <c r="H57" s="12" t="s">
        <v>15</v>
      </c>
      <c r="I57" s="14"/>
      <c r="J57" s="11" t="s">
        <v>134</v>
      </c>
      <c r="K57" s="11"/>
      <c r="L57" s="2">
        <v>2</v>
      </c>
      <c r="M57" s="23"/>
      <c r="N57" s="23"/>
      <c r="O57" s="2">
        <v>1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2:27" x14ac:dyDescent="0.3">
      <c r="B58" s="12" t="s">
        <v>77</v>
      </c>
      <c r="C58" s="12" t="s">
        <v>9</v>
      </c>
      <c r="D58" s="12" t="s">
        <v>98</v>
      </c>
      <c r="E58" s="12">
        <v>211047</v>
      </c>
      <c r="F58" s="12">
        <v>2001181</v>
      </c>
      <c r="G58" s="12" t="s">
        <v>99</v>
      </c>
      <c r="H58" s="12" t="s">
        <v>15</v>
      </c>
      <c r="I58" s="14"/>
      <c r="J58" s="11" t="s">
        <v>134</v>
      </c>
      <c r="K58" s="11"/>
      <c r="L58" s="2">
        <v>2</v>
      </c>
      <c r="M58" s="23"/>
      <c r="N58" s="23"/>
      <c r="O58" s="2">
        <v>1</v>
      </c>
      <c r="P58" s="2">
        <v>1</v>
      </c>
      <c r="Q58" s="2"/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/>
      <c r="AA58" s="2">
        <v>1</v>
      </c>
    </row>
    <row r="59" spans="2:27" x14ac:dyDescent="0.3">
      <c r="B59" s="12" t="s">
        <v>77</v>
      </c>
      <c r="C59" s="12" t="s">
        <v>9</v>
      </c>
      <c r="D59" s="12" t="s">
        <v>100</v>
      </c>
      <c r="E59" s="12">
        <v>211161</v>
      </c>
      <c r="F59" s="12">
        <v>6006</v>
      </c>
      <c r="G59" s="12" t="s">
        <v>101</v>
      </c>
      <c r="H59" s="12" t="s">
        <v>15</v>
      </c>
      <c r="I59" s="14"/>
      <c r="J59" s="11" t="s">
        <v>134</v>
      </c>
      <c r="K59" s="11"/>
      <c r="L59" s="2">
        <v>2</v>
      </c>
      <c r="M59" s="23"/>
      <c r="N59" s="23"/>
      <c r="O59" s="2">
        <v>1</v>
      </c>
      <c r="P59" s="8"/>
      <c r="Q59" s="8"/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/>
      <c r="AA59" s="2">
        <v>1</v>
      </c>
    </row>
    <row r="60" spans="2:27" x14ac:dyDescent="0.3">
      <c r="B60" s="12" t="s">
        <v>102</v>
      </c>
      <c r="C60" s="12" t="s">
        <v>9</v>
      </c>
      <c r="D60" s="12" t="s">
        <v>103</v>
      </c>
      <c r="E60" s="12">
        <v>103783</v>
      </c>
      <c r="F60" s="12">
        <v>7500079</v>
      </c>
      <c r="G60" s="12" t="s">
        <v>104</v>
      </c>
      <c r="H60" s="12" t="s">
        <v>15</v>
      </c>
      <c r="I60" s="14"/>
      <c r="J60" s="11" t="s">
        <v>133</v>
      </c>
      <c r="K60" s="11"/>
      <c r="L60" s="2">
        <v>2</v>
      </c>
      <c r="M60" s="23" t="s">
        <v>112</v>
      </c>
      <c r="N60" s="23">
        <v>1</v>
      </c>
      <c r="O60" s="2">
        <v>1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2:27" x14ac:dyDescent="0.3">
      <c r="B61" s="12" t="s">
        <v>102</v>
      </c>
      <c r="C61" s="12" t="s">
        <v>9</v>
      </c>
      <c r="D61" s="12" t="s">
        <v>105</v>
      </c>
      <c r="E61" s="12">
        <v>190244</v>
      </c>
      <c r="F61" s="12">
        <v>9000012</v>
      </c>
      <c r="G61" s="12" t="s">
        <v>106</v>
      </c>
      <c r="H61" s="12" t="s">
        <v>37</v>
      </c>
      <c r="I61" s="14"/>
      <c r="J61" s="11" t="s">
        <v>133</v>
      </c>
      <c r="K61" s="11"/>
      <c r="L61" s="2">
        <v>2</v>
      </c>
      <c r="M61" s="23"/>
      <c r="N61" s="23"/>
      <c r="O61" s="2">
        <v>1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2:27" x14ac:dyDescent="0.3">
      <c r="B62" s="12" t="s">
        <v>102</v>
      </c>
      <c r="C62" s="12" t="s">
        <v>9</v>
      </c>
      <c r="D62" s="12" t="s">
        <v>105</v>
      </c>
      <c r="E62" s="12">
        <v>211074</v>
      </c>
      <c r="F62" s="12">
        <v>2217305</v>
      </c>
      <c r="G62" s="12" t="s">
        <v>107</v>
      </c>
      <c r="H62" s="12" t="s">
        <v>15</v>
      </c>
      <c r="I62" s="14"/>
      <c r="J62" s="11" t="s">
        <v>133</v>
      </c>
      <c r="K62" s="11"/>
      <c r="L62" s="2">
        <v>2</v>
      </c>
      <c r="M62" s="23"/>
      <c r="N62" s="23"/>
      <c r="O62" s="2">
        <v>1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2:27" x14ac:dyDescent="0.3">
      <c r="B63" s="12" t="s">
        <v>102</v>
      </c>
      <c r="C63" s="12" t="s">
        <v>9</v>
      </c>
      <c r="D63" s="12" t="s">
        <v>108</v>
      </c>
      <c r="E63" s="12">
        <v>211127</v>
      </c>
      <c r="F63" s="12">
        <v>7325995</v>
      </c>
      <c r="G63" s="12" t="s">
        <v>109</v>
      </c>
      <c r="H63" s="12" t="s">
        <v>15</v>
      </c>
      <c r="I63" s="14"/>
      <c r="J63" s="11" t="s">
        <v>133</v>
      </c>
      <c r="K63" s="11"/>
      <c r="L63" s="2">
        <v>2</v>
      </c>
      <c r="M63" s="23"/>
      <c r="N63" s="23"/>
      <c r="O63" s="2">
        <v>1</v>
      </c>
      <c r="P63" s="2">
        <v>1</v>
      </c>
      <c r="Q63" s="2"/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/>
      <c r="AA63" s="2">
        <v>1</v>
      </c>
    </row>
    <row r="64" spans="2:27" x14ac:dyDescent="0.3">
      <c r="B64" s="12" t="s">
        <v>102</v>
      </c>
      <c r="C64" s="12" t="s">
        <v>9</v>
      </c>
      <c r="D64" s="12" t="s">
        <v>110</v>
      </c>
      <c r="E64" s="12">
        <v>211026</v>
      </c>
      <c r="F64" s="12">
        <v>2000206</v>
      </c>
      <c r="G64" s="12" t="s">
        <v>111</v>
      </c>
      <c r="H64" s="12" t="s">
        <v>15</v>
      </c>
      <c r="I64" s="14"/>
      <c r="J64" s="11" t="s">
        <v>133</v>
      </c>
      <c r="K64" s="11"/>
      <c r="L64" s="2">
        <v>2</v>
      </c>
      <c r="M64" s="23"/>
      <c r="N64" s="23"/>
      <c r="O64" s="2">
        <v>1</v>
      </c>
      <c r="P64" s="8"/>
      <c r="Q64" s="8"/>
      <c r="R64" s="8"/>
      <c r="S64" s="8"/>
      <c r="T64" s="8"/>
      <c r="U64" s="8"/>
      <c r="V64" s="8"/>
      <c r="W64" s="8"/>
      <c r="X64" s="8"/>
      <c r="Y64" s="2">
        <v>1</v>
      </c>
      <c r="Z64" s="8"/>
      <c r="AA64" s="2">
        <v>1</v>
      </c>
    </row>
    <row r="65" spans="2:27" x14ac:dyDescent="0.3">
      <c r="B65" s="12" t="s">
        <v>102</v>
      </c>
      <c r="C65" s="12" t="s">
        <v>9</v>
      </c>
      <c r="D65" s="12" t="s">
        <v>112</v>
      </c>
      <c r="E65" s="12">
        <v>103240</v>
      </c>
      <c r="F65" s="12">
        <v>7500742</v>
      </c>
      <c r="G65" s="12" t="s">
        <v>113</v>
      </c>
      <c r="H65" s="12" t="s">
        <v>15</v>
      </c>
      <c r="I65" s="14"/>
      <c r="J65" s="11" t="s">
        <v>133</v>
      </c>
      <c r="K65" s="11"/>
      <c r="L65" s="2">
        <v>2</v>
      </c>
      <c r="M65" s="23"/>
      <c r="N65" s="23"/>
      <c r="O65" s="2">
        <v>1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2:27" x14ac:dyDescent="0.3">
      <c r="B66" s="12" t="s">
        <v>102</v>
      </c>
      <c r="C66" s="12" t="s">
        <v>9</v>
      </c>
      <c r="D66" s="12" t="s">
        <v>112</v>
      </c>
      <c r="E66" s="12">
        <v>103240</v>
      </c>
      <c r="F66" s="12">
        <v>7112065</v>
      </c>
      <c r="G66" s="12" t="s">
        <v>114</v>
      </c>
      <c r="H66" s="12" t="s">
        <v>15</v>
      </c>
      <c r="I66" s="14"/>
      <c r="J66" s="11" t="s">
        <v>133</v>
      </c>
      <c r="K66" s="11"/>
      <c r="L66" s="2">
        <v>2</v>
      </c>
      <c r="M66" s="23"/>
      <c r="N66" s="23"/>
      <c r="O66" s="2">
        <v>1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2:27" x14ac:dyDescent="0.3">
      <c r="B67" s="12" t="s">
        <v>102</v>
      </c>
      <c r="C67" s="12" t="s">
        <v>9</v>
      </c>
      <c r="D67" s="12" t="s">
        <v>112</v>
      </c>
      <c r="E67" s="12">
        <v>189208</v>
      </c>
      <c r="F67" s="12">
        <v>9000026</v>
      </c>
      <c r="G67" s="12" t="s">
        <v>115</v>
      </c>
      <c r="H67" s="12" t="s">
        <v>37</v>
      </c>
      <c r="I67" s="14"/>
      <c r="J67" s="11" t="s">
        <v>133</v>
      </c>
      <c r="K67" s="11"/>
      <c r="L67" s="2">
        <v>2</v>
      </c>
      <c r="M67" s="23"/>
      <c r="N67" s="23"/>
      <c r="O67" s="2">
        <v>1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2:27" x14ac:dyDescent="0.3">
      <c r="B68" s="12" t="s">
        <v>116</v>
      </c>
      <c r="C68" s="12" t="s">
        <v>9</v>
      </c>
      <c r="D68" s="12" t="s">
        <v>117</v>
      </c>
      <c r="E68" s="12">
        <v>103393</v>
      </c>
      <c r="F68" s="12">
        <v>6517067</v>
      </c>
      <c r="G68" s="12" t="s">
        <v>118</v>
      </c>
      <c r="H68" s="12" t="s">
        <v>15</v>
      </c>
      <c r="I68" s="14"/>
      <c r="J68" s="11" t="s">
        <v>133</v>
      </c>
      <c r="K68" s="11"/>
      <c r="L68" s="2">
        <v>2</v>
      </c>
      <c r="M68" s="23"/>
      <c r="N68" s="23"/>
      <c r="O68" s="2">
        <v>1</v>
      </c>
      <c r="P68" s="8"/>
      <c r="Q68" s="8"/>
      <c r="R68" s="2">
        <v>1</v>
      </c>
      <c r="S68" s="2">
        <v>1</v>
      </c>
      <c r="T68" s="2"/>
      <c r="U68" s="2"/>
      <c r="V68" s="2">
        <v>1</v>
      </c>
      <c r="W68" s="2"/>
      <c r="X68" s="2"/>
      <c r="Y68" s="2"/>
      <c r="Z68" s="2"/>
      <c r="AA68" s="2"/>
    </row>
    <row r="69" spans="2:27" x14ac:dyDescent="0.3">
      <c r="B69" s="12" t="s">
        <v>116</v>
      </c>
      <c r="C69" s="12" t="s">
        <v>9</v>
      </c>
      <c r="D69" s="12" t="s">
        <v>119</v>
      </c>
      <c r="E69" s="12">
        <v>154400</v>
      </c>
      <c r="F69" s="12">
        <v>2345003</v>
      </c>
      <c r="G69" s="12" t="s">
        <v>120</v>
      </c>
      <c r="H69" s="12" t="s">
        <v>12</v>
      </c>
      <c r="I69" s="14"/>
      <c r="J69" s="11" t="s">
        <v>133</v>
      </c>
      <c r="K69" s="11"/>
      <c r="L69" s="2">
        <v>2</v>
      </c>
      <c r="M69" s="23"/>
      <c r="N69" s="23"/>
      <c r="O69" s="2">
        <v>1</v>
      </c>
      <c r="P69" s="8"/>
      <c r="Q69" s="8"/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</row>
    <row r="70" spans="2:27" x14ac:dyDescent="0.3">
      <c r="B70" s="12" t="s">
        <v>116</v>
      </c>
      <c r="C70" s="12" t="s">
        <v>9</v>
      </c>
      <c r="D70" s="12" t="s">
        <v>119</v>
      </c>
      <c r="E70" s="12">
        <v>103237</v>
      </c>
      <c r="F70" s="12">
        <v>9000007</v>
      </c>
      <c r="G70" s="12" t="s">
        <v>121</v>
      </c>
      <c r="H70" s="12" t="s">
        <v>37</v>
      </c>
      <c r="I70" s="14"/>
      <c r="J70" s="11" t="s">
        <v>133</v>
      </c>
      <c r="K70" s="11"/>
      <c r="L70" s="2">
        <v>2</v>
      </c>
      <c r="M70" s="23"/>
      <c r="N70" s="23"/>
      <c r="O70" s="2">
        <v>1</v>
      </c>
      <c r="P70" s="8"/>
      <c r="Q70" s="8"/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</row>
    <row r="71" spans="2:27" x14ac:dyDescent="0.3">
      <c r="B71" s="12" t="s">
        <v>116</v>
      </c>
      <c r="C71" s="12" t="s">
        <v>9</v>
      </c>
      <c r="D71" s="12" t="s">
        <v>122</v>
      </c>
      <c r="E71" s="12">
        <v>103454</v>
      </c>
      <c r="F71" s="12">
        <v>7140024</v>
      </c>
      <c r="G71" s="12" t="s">
        <v>123</v>
      </c>
      <c r="H71" s="12" t="s">
        <v>12</v>
      </c>
      <c r="I71" s="14"/>
      <c r="J71" s="11" t="s">
        <v>133</v>
      </c>
      <c r="K71" s="11"/>
      <c r="L71" s="2">
        <v>2</v>
      </c>
      <c r="M71" s="23"/>
      <c r="N71" s="23"/>
      <c r="O71" s="2">
        <v>1</v>
      </c>
      <c r="P71" s="2">
        <v>1</v>
      </c>
      <c r="Q71" s="2"/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/>
      <c r="AA71" s="2">
        <v>1</v>
      </c>
    </row>
    <row r="72" spans="2:27" x14ac:dyDescent="0.3">
      <c r="B72" s="12" t="s">
        <v>116</v>
      </c>
      <c r="C72" s="12" t="s">
        <v>9</v>
      </c>
      <c r="D72" s="12" t="s">
        <v>122</v>
      </c>
      <c r="E72" s="12">
        <v>103454</v>
      </c>
      <c r="F72" s="12">
        <v>5700592</v>
      </c>
      <c r="G72" s="12" t="s">
        <v>124</v>
      </c>
      <c r="H72" s="12" t="s">
        <v>15</v>
      </c>
      <c r="I72" s="14"/>
      <c r="J72" s="11" t="s">
        <v>133</v>
      </c>
      <c r="K72" s="11"/>
      <c r="L72" s="2">
        <v>2</v>
      </c>
      <c r="M72" s="23"/>
      <c r="N72" s="23"/>
      <c r="O72" s="2">
        <v>1</v>
      </c>
      <c r="P72" s="8"/>
      <c r="Q72" s="8"/>
      <c r="R72" s="8"/>
      <c r="S72" s="8"/>
      <c r="T72" s="8"/>
      <c r="U72" s="2">
        <v>1</v>
      </c>
      <c r="V72" s="8"/>
      <c r="W72" s="8"/>
      <c r="X72" s="8"/>
      <c r="Y72" s="8"/>
      <c r="Z72" s="8"/>
      <c r="AA72" s="8"/>
    </row>
    <row r="73" spans="2:27" x14ac:dyDescent="0.3">
      <c r="B73" s="24" t="s">
        <v>137</v>
      </c>
      <c r="C73" s="25"/>
      <c r="D73" s="25"/>
      <c r="E73" s="25"/>
      <c r="F73" s="25"/>
      <c r="G73" s="25"/>
      <c r="H73" s="26"/>
      <c r="I73" s="7"/>
      <c r="J73" s="8"/>
      <c r="K73" s="9"/>
      <c r="L73" s="4">
        <f>SUM(L5:L72)</f>
        <v>136</v>
      </c>
      <c r="M73" s="4" t="s">
        <v>137</v>
      </c>
      <c r="N73" s="4">
        <f>SUM(N5:N69)</f>
        <v>6</v>
      </c>
      <c r="O73" s="4">
        <f>COUNTA(O5:O72)</f>
        <v>62</v>
      </c>
      <c r="P73" s="4">
        <f t="shared" ref="P73:AA73" si="0">COUNTA(P5:P72)</f>
        <v>17</v>
      </c>
      <c r="Q73" s="4">
        <f t="shared" si="0"/>
        <v>2</v>
      </c>
      <c r="R73" s="4">
        <f t="shared" si="0"/>
        <v>23</v>
      </c>
      <c r="S73" s="4">
        <f t="shared" si="0"/>
        <v>23</v>
      </c>
      <c r="T73" s="4">
        <f t="shared" si="0"/>
        <v>22</v>
      </c>
      <c r="U73" s="4">
        <f t="shared" si="0"/>
        <v>23</v>
      </c>
      <c r="V73" s="4">
        <f t="shared" si="0"/>
        <v>23</v>
      </c>
      <c r="W73" s="4">
        <f t="shared" si="0"/>
        <v>22</v>
      </c>
      <c r="X73" s="4">
        <f t="shared" si="0"/>
        <v>22</v>
      </c>
      <c r="Y73" s="4">
        <f t="shared" si="0"/>
        <v>23</v>
      </c>
      <c r="Z73" s="4">
        <f t="shared" si="0"/>
        <v>6</v>
      </c>
      <c r="AA73" s="4">
        <f t="shared" si="0"/>
        <v>23</v>
      </c>
    </row>
  </sheetData>
  <mergeCells count="39">
    <mergeCell ref="H2:H3"/>
    <mergeCell ref="I2:I3"/>
    <mergeCell ref="B2:B3"/>
    <mergeCell ref="C2:C3"/>
    <mergeCell ref="D2:D3"/>
    <mergeCell ref="E2:E3"/>
    <mergeCell ref="F2:F3"/>
    <mergeCell ref="G2:G3"/>
    <mergeCell ref="M5:M15"/>
    <mergeCell ref="N5:N15"/>
    <mergeCell ref="M27:M34"/>
    <mergeCell ref="N27:N34"/>
    <mergeCell ref="M35:M46"/>
    <mergeCell ref="N35:N46"/>
    <mergeCell ref="M16:M26"/>
    <mergeCell ref="N16:N26"/>
    <mergeCell ref="O2:O4"/>
    <mergeCell ref="J2:J3"/>
    <mergeCell ref="K2:K3"/>
    <mergeCell ref="L2:L3"/>
    <mergeCell ref="M2:M3"/>
    <mergeCell ref="N2:N3"/>
    <mergeCell ref="M47:M59"/>
    <mergeCell ref="N47:N59"/>
    <mergeCell ref="M60:M72"/>
    <mergeCell ref="N60:N72"/>
    <mergeCell ref="B73:H73"/>
    <mergeCell ref="AA2:AA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1" id="{27FE580B-831A-4271-B6F3-B1DD2A87642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O25:O26 Y22:AA25 R22:T25 P26:AA26</xm:sqref>
        </x14:conditionalFormatting>
        <x14:conditionalFormatting xmlns:xm="http://schemas.microsoft.com/office/excel/2006/main">
          <x14:cfRule type="iconSet" priority="18" id="{A79742D4-0BD2-426F-A5CE-48FCFEC62E7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O27:O33</xm:sqref>
        </x14:conditionalFormatting>
        <x14:conditionalFormatting xmlns:xm="http://schemas.microsoft.com/office/excel/2006/main">
          <x14:cfRule type="iconSet" priority="60" id="{795BF50B-D0AD-4D2D-B1AF-3C273D4A9E5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O40</xm:sqref>
        </x14:conditionalFormatting>
        <x14:conditionalFormatting xmlns:xm="http://schemas.microsoft.com/office/excel/2006/main">
          <x14:cfRule type="iconSet" priority="45" id="{46D2D87B-AA9C-4B57-9B69-531E15FCDCA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44" id="{97279012-71A4-4ED0-A61E-920A0DF4A67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O41</xm:sqref>
        </x14:conditionalFormatting>
        <x14:conditionalFormatting xmlns:xm="http://schemas.microsoft.com/office/excel/2006/main">
          <x14:cfRule type="iconSet" priority="132" id="{E19583FA-75FF-45AF-B8D8-E10D588139E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6" id="{FDDAC910-E04E-434C-8BCE-6FC03DD3FEB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7" id="{F18AEAE1-E228-4A62-BA42-07348AD0656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O42:O45</xm:sqref>
        </x14:conditionalFormatting>
        <x14:conditionalFormatting xmlns:xm="http://schemas.microsoft.com/office/excel/2006/main">
          <x14:cfRule type="iconSet" priority="58" id="{0A120BFD-FCD4-49B5-BF49-E3AF68BF6FB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9" id="{4C2AF286-EF4E-420B-B42C-76EA70D076C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O46</xm:sqref>
        </x14:conditionalFormatting>
        <x14:conditionalFormatting xmlns:xm="http://schemas.microsoft.com/office/excel/2006/main">
          <x14:cfRule type="iconSet" priority="115" id="{32E4FDEB-5F8A-47DD-838F-A88F84A9513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14" id="{79B00197-EC99-446F-8322-D98567F79F2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13" id="{B946C975-D94B-47C4-B529-2F80095AB16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O49:O59</xm:sqref>
        </x14:conditionalFormatting>
        <x14:conditionalFormatting xmlns:xm="http://schemas.microsoft.com/office/excel/2006/main">
          <x14:cfRule type="iconSet" priority="70" id="{D9DDCBBB-5BF3-4DE8-B114-25299701789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O60:O62</xm:sqref>
        </x14:conditionalFormatting>
        <x14:conditionalFormatting xmlns:xm="http://schemas.microsoft.com/office/excel/2006/main">
          <x14:cfRule type="iconSet" priority="73" id="{73D22374-D359-48A5-A259-562F6F4D65B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O63:O67</xm:sqref>
        </x14:conditionalFormatting>
        <x14:conditionalFormatting xmlns:xm="http://schemas.microsoft.com/office/excel/2006/main">
          <x14:cfRule type="iconSet" priority="77" id="{E3E617CA-B851-47CC-ADD1-7420B2E33E3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79" id="{D45EC309-7259-441B-BEC1-1B2C7C95F6F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78" id="{4B584689-5493-4545-8D57-E9C860C3506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O68:O70</xm:sqref>
        </x14:conditionalFormatting>
        <x14:conditionalFormatting xmlns:xm="http://schemas.microsoft.com/office/excel/2006/main">
          <x14:cfRule type="iconSet" priority="106" id="{62F8A637-8C77-49B8-A15D-D82FD5C328A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5" id="{BD583EB5-78EB-489A-9C48-FF5336FA78A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O72</xm:sqref>
        </x14:conditionalFormatting>
        <x14:conditionalFormatting xmlns:xm="http://schemas.microsoft.com/office/excel/2006/main">
          <x14:cfRule type="iconSet" priority="15" id="{E1EC240D-4271-4381-B918-2343FC5B259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O34:P34 R34:T34 Y34:AA34</xm:sqref>
        </x14:conditionalFormatting>
        <x14:conditionalFormatting xmlns:xm="http://schemas.microsoft.com/office/excel/2006/main">
          <x14:cfRule type="iconSet" priority="14" id="{3244CDA5-3747-4DE2-A04C-152E6A58BC6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O34:P34 Y34:AA34 R34:T34</xm:sqref>
        </x14:conditionalFormatting>
        <x14:conditionalFormatting xmlns:xm="http://schemas.microsoft.com/office/excel/2006/main">
          <x14:cfRule type="iconSet" priority="11" id="{0CA2FA56-9BF7-46C3-88EF-82571881D3E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" id="{38EE9458-32C4-4102-83AE-B14EF45A695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O34:P34</xm:sqref>
        </x14:conditionalFormatting>
        <x14:conditionalFormatting xmlns:xm="http://schemas.microsoft.com/office/excel/2006/main">
          <x14:cfRule type="iconSet" priority="38" id="{5361D9E8-DB5F-452B-9267-CD87CC5929B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39" id="{E3B7D2C0-5F4E-4FD3-AD9F-6CE72BDC080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O35:P36</xm:sqref>
        </x14:conditionalFormatting>
        <x14:conditionalFormatting xmlns:xm="http://schemas.microsoft.com/office/excel/2006/main">
          <x14:cfRule type="iconSet" priority="40" id="{83290229-3F4F-4087-B243-9CFE9386370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41" id="{68F0CA9B-B4B3-431C-8F2B-C5BEC64E489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O37:P37</xm:sqref>
        </x14:conditionalFormatting>
        <x14:conditionalFormatting xmlns:xm="http://schemas.microsoft.com/office/excel/2006/main">
          <x14:cfRule type="iconSet" priority="42" id="{8ADAC856-7F72-424B-8B64-48948BDBACF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43" id="{695E1A71-7AC2-48EA-8F00-37539FBBDDB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O38:P39</xm:sqref>
        </x14:conditionalFormatting>
        <x14:conditionalFormatting xmlns:xm="http://schemas.microsoft.com/office/excel/2006/main">
          <x14:cfRule type="iconSet" priority="117" id="{024059A9-5A3C-4C92-8E64-BB35EB2D6C3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18" id="{A7E16830-F95B-44AF-93D9-192559392B1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O47:AA47</xm:sqref>
        </x14:conditionalFormatting>
        <x14:conditionalFormatting xmlns:xm="http://schemas.microsoft.com/office/excel/2006/main">
          <x14:cfRule type="iconSet" priority="116" id="{95CFDE43-8A2A-42C9-B50F-F8F5C6AF310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O47:AA48</xm:sqref>
        </x14:conditionalFormatting>
        <x14:conditionalFormatting xmlns:xm="http://schemas.microsoft.com/office/excel/2006/main">
          <x14:cfRule type="iconSet" priority="101" id="{C9E06544-1DEF-4582-831F-2CF40AAF760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2" id="{9BBB6CFD-3C43-42FC-9800-A809FD1A464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O71:AA71</xm:sqref>
        </x14:conditionalFormatting>
        <x14:conditionalFormatting xmlns:xm="http://schemas.microsoft.com/office/excel/2006/main">
          <x14:cfRule type="iconSet" priority="53" id="{338F6D49-F0D0-4481-8DCD-3D254882C63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4" id="{F49E24B0-E137-487E-8FBE-B3BBBB635C9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5" id="{05C2E343-7FE0-4E60-99A7-8ACA46767FA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2" id="{518ABFA0-B40C-4407-A191-8B2C08237DA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P42:P45</xm:sqref>
        </x14:conditionalFormatting>
        <x14:conditionalFormatting xmlns:xm="http://schemas.microsoft.com/office/excel/2006/main">
          <x14:cfRule type="iconSet" priority="237" id="{140C4167-DFEF-4CDD-81BB-2D70C0B3CFF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36" id="{B27FBC29-2DBF-4B33-A143-E511EFDC8EF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P20:Q20</xm:sqref>
        </x14:conditionalFormatting>
        <x14:conditionalFormatting xmlns:xm="http://schemas.microsoft.com/office/excel/2006/main">
          <x14:cfRule type="iconSet" priority="251" id="{B85800FA-A983-4F3D-818B-8D70CB001BD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50" id="{99FE6E53-4739-4B41-8350-7529CE9AF92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P22:Q22</xm:sqref>
        </x14:conditionalFormatting>
        <x14:conditionalFormatting xmlns:xm="http://schemas.microsoft.com/office/excel/2006/main">
          <x14:cfRule type="iconSet" priority="249" id="{3263EFC6-56E8-423E-9E35-22C6AF2E675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48" id="{792F43DA-5D2F-40D2-9F5B-8E416508FF5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P23:Q23</xm:sqref>
        </x14:conditionalFormatting>
        <x14:conditionalFormatting xmlns:xm="http://schemas.microsoft.com/office/excel/2006/main">
          <x14:cfRule type="iconSet" priority="127" id="{AAF97D70-C22A-4AA7-9C8C-B34068903A31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P40:Q40 O40:O46 Q39 O35:P39 R37:T38 Y37:AA38 R35:AA36</xm:sqref>
        </x14:conditionalFormatting>
        <x14:conditionalFormatting xmlns:xm="http://schemas.microsoft.com/office/excel/2006/main">
          <x14:cfRule type="iconSet" priority="126" id="{572BB2E2-E2FA-4BB9-95F2-967118E5F50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P40:Q40 R43:AA44 O40:O46 Q39 O35:P39 Y37:AA42 R37:T42 R35:AA36</xm:sqref>
        </x14:conditionalFormatting>
        <x14:conditionalFormatting xmlns:xm="http://schemas.microsoft.com/office/excel/2006/main">
          <x14:cfRule type="iconSet" priority="87" id="{2BD5D4A3-8AC9-46E9-9DCD-C519B2CF4CD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8" id="{B027136A-0259-4E98-BDE6-639046F02DA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6" id="{A2C1FF1A-333B-4442-B114-BEE94275091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P56:Q56</xm:sqref>
        </x14:conditionalFormatting>
        <x14:conditionalFormatting xmlns:xm="http://schemas.microsoft.com/office/excel/2006/main">
          <x14:cfRule type="iconSet" priority="85" id="{2E6B2195-561C-4204-A91A-8A42A09D86E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4" id="{4E015E33-E277-44A7-A777-F276FB03F8D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3" id="{05DF4393-2E4F-4500-9902-6C4D0C826E7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P58:Q58</xm:sqref>
        </x14:conditionalFormatting>
        <x14:conditionalFormatting xmlns:xm="http://schemas.microsoft.com/office/excel/2006/main">
          <x14:cfRule type="iconSet" priority="64" id="{210CF841-ED11-4CBC-ABC8-04EA13C2688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65" id="{3185286B-5C56-4B4B-9C0E-B44A6E6088C1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66" id="{968D4A3C-D70D-4F92-92EE-AB5F5338BB4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P63:Q63</xm:sqref>
        </x14:conditionalFormatting>
        <x14:conditionalFormatting xmlns:xm="http://schemas.microsoft.com/office/excel/2006/main">
          <x14:cfRule type="iconSet" priority="98" id="{5F86B46C-16D3-4928-B7C4-21C8AD166EE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99" id="{7C0D98DC-0E74-4F32-AA11-C9A36BC67A2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0" id="{74E3D863-63DD-4042-A366-A0260BA3B6B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P55:AA55</xm:sqref>
        </x14:conditionalFormatting>
        <x14:conditionalFormatting xmlns:xm="http://schemas.microsoft.com/office/excel/2006/main">
          <x14:cfRule type="iconSet" priority="74" id="{3443FD6E-02CB-4BBB-B2FC-B096D932608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75" id="{B0FF7B3E-7D90-408A-B928-ABD1DF5580B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76" id="{D8DE6A0C-CD86-4E5D-8E47-DD7986667471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Q54</xm:sqref>
        </x14:conditionalFormatting>
        <x14:conditionalFormatting xmlns:xm="http://schemas.microsoft.com/office/excel/2006/main">
          <x14:cfRule type="iconSet" priority="247" id="{6ED330FE-D299-4D67-859F-3587D174699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46" id="{36EA8210-C04A-42F8-A45F-801F85CF906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R5:R8 R10</xm:sqref>
        </x14:conditionalFormatting>
        <x14:conditionalFormatting xmlns:xm="http://schemas.microsoft.com/office/excel/2006/main">
          <x14:cfRule type="iconSet" priority="235" id="{7521A3EA-AE40-4A20-BD07-81980E4EC73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34" id="{FFA04F42-0675-498A-A95C-AF75B06E8C3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R20</xm:sqref>
        </x14:conditionalFormatting>
        <x14:conditionalFormatting xmlns:xm="http://schemas.microsoft.com/office/excel/2006/main">
          <x14:cfRule type="iconSet" priority="23" id="{FBFF9945-D598-4415-8E1D-8831E328DD5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2" id="{D626DE7D-EE05-412A-B1C0-D697FF88258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R9:T9 Y9:AA9</xm:sqref>
        </x14:conditionalFormatting>
        <x14:conditionalFormatting xmlns:xm="http://schemas.microsoft.com/office/excel/2006/main">
          <x14:cfRule type="iconSet" priority="269" id="{445E95C8-C756-49DF-8CBC-EFD885E75BB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R12:T18 S5:T8 Y5:AA8 Y21:AA25 R21:T25 P26:AA26 Y10:AA18 S10:T11 O5:O26</xm:sqref>
        </x14:conditionalFormatting>
        <x14:conditionalFormatting xmlns:xm="http://schemas.microsoft.com/office/excel/2006/main">
          <x14:cfRule type="iconSet" priority="241" id="{C09C3E22-F714-4E2E-AE23-6CAF354D0C2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R19:T19 Y19:AA19</xm:sqref>
        </x14:conditionalFormatting>
        <x14:conditionalFormatting xmlns:xm="http://schemas.microsoft.com/office/excel/2006/main">
          <x14:cfRule type="iconSet" priority="36" id="{7D0279AA-FDCC-4E4F-99B1-1720E99682A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37" id="{001134AB-1605-4848-AB4B-8F3669918A0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R35:AA36</xm:sqref>
        </x14:conditionalFormatting>
        <x14:conditionalFormatting xmlns:xm="http://schemas.microsoft.com/office/excel/2006/main">
          <x14:cfRule type="iconSet" priority="47" id="{0B4004C0-1C6E-4104-9E50-B8D04781743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48" id="{7ED8B77D-55C4-4DCC-8685-1AA1B5CF7C0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46" id="{288BB67F-8969-413B-899D-8F561B75446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R43:AA43</xm:sqref>
        </x14:conditionalFormatting>
        <x14:conditionalFormatting xmlns:xm="http://schemas.microsoft.com/office/excel/2006/main">
          <x14:cfRule type="iconSet" priority="49" id="{AA20F0A3-0415-4DB2-B33A-89EA98FF74B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0" id="{FE413C9C-119B-4DB7-9D41-6AA2C942BBF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51" id="{BC9D2D34-B5C8-4D34-BB7F-950BE31C0C4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R44:AA44</xm:sqref>
        </x14:conditionalFormatting>
        <x14:conditionalFormatting xmlns:xm="http://schemas.microsoft.com/office/excel/2006/main">
          <x14:cfRule type="iconSet" priority="110" id="{14E908D8-5775-454C-9620-7D1332E5C71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12" id="{ECF1C9F1-B454-45D1-9109-62E955BD857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11" id="{D50A15AA-FBCC-4F0C-80EE-6898D7EEF5D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R49:AA49</xm:sqref>
        </x14:conditionalFormatting>
        <x14:conditionalFormatting xmlns:xm="http://schemas.microsoft.com/office/excel/2006/main">
          <x14:cfRule type="iconSet" priority="107" id="{E5D1C487-4FB1-4A05-BBE7-C4F79BFA87A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9" id="{F9C23053-4C31-4932-A5CD-65555992B66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8" id="{1B365A6C-FF36-4848-BE34-EAC90359B57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R50:AA54</xm:sqref>
        </x14:conditionalFormatting>
        <x14:conditionalFormatting xmlns:xm="http://schemas.microsoft.com/office/excel/2006/main">
          <x14:cfRule type="iconSet" priority="97" id="{CDBD44B3-ADED-457A-96BC-2C99C1CBD28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96" id="{E94D531E-BFE5-4303-AA90-3E17070A818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95" id="{A7A69F46-090D-42C8-953A-15DC64DD585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R56:AA56</xm:sqref>
        </x14:conditionalFormatting>
        <x14:conditionalFormatting xmlns:xm="http://schemas.microsoft.com/office/excel/2006/main">
          <x14:cfRule type="iconSet" priority="92" id="{6D6B642A-B470-49CC-82DE-2790CD2C4BA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94" id="{71F67175-5F5A-4AC1-924E-B2232536922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93" id="{0B64D0A9-1D70-4275-91B3-557B9EEA67F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R58:AA58</xm:sqref>
        </x14:conditionalFormatting>
        <x14:conditionalFormatting xmlns:xm="http://schemas.microsoft.com/office/excel/2006/main">
          <x14:cfRule type="iconSet" priority="91" id="{19409BEF-1D16-4A7C-A9DB-30E59B7BD7E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90" id="{8AC4F967-0452-4710-A882-D5A21EC2AC8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9" id="{3813FC97-5FC1-4544-B512-6977638C037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R59:AA59</xm:sqref>
        </x14:conditionalFormatting>
        <x14:conditionalFormatting xmlns:xm="http://schemas.microsoft.com/office/excel/2006/main">
          <x14:cfRule type="iconSet" priority="69" id="{90A58A62-6465-43AA-87C9-A3353E2DA28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67" id="{64B95737-CFE0-404F-9730-530CDC2119C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68" id="{C9E6B0D3-76A3-49BC-9EEA-F1D17044C65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R63:AA63</xm:sqref>
        </x14:conditionalFormatting>
        <x14:conditionalFormatting xmlns:xm="http://schemas.microsoft.com/office/excel/2006/main">
          <x14:cfRule type="iconSet" priority="82" id="{F645B45E-154A-451A-98F0-9A2C4C8E5F2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1" id="{EBEB0602-2E49-422F-B541-DC346A3CF3E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80" id="{9FFA7819-EABB-4BF8-830F-D08E473E8A7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R68:AA68</xm:sqref>
        </x14:conditionalFormatting>
        <x14:conditionalFormatting xmlns:xm="http://schemas.microsoft.com/office/excel/2006/main">
          <x14:cfRule type="iconSet" priority="61" id="{4BD378C2-4BD0-46EE-99A5-941518CB249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62" id="{A61EDB25-1063-4C18-A342-1A9D0A48EC2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63" id="{AEBBC1CD-3AF7-4529-9045-0250BF37F53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R69:AA70</xm:sqref>
        </x14:conditionalFormatting>
        <x14:conditionalFormatting xmlns:xm="http://schemas.microsoft.com/office/excel/2006/main">
          <x14:cfRule type="iconSet" priority="232" id="{25557D25-6246-4F92-8145-485C3CA4642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33" id="{363080B7-7817-44B8-91EA-14C822F8043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S20</xm:sqref>
        </x14:conditionalFormatting>
        <x14:conditionalFormatting xmlns:xm="http://schemas.microsoft.com/office/excel/2006/main">
          <x14:cfRule type="iconSet" priority="231" id="{223A7E15-C875-471E-AD37-3CE6D65F574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30" id="{4852136F-F259-4008-AB8C-28D50E07D64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T20</xm:sqref>
        </x14:conditionalFormatting>
        <x14:conditionalFormatting xmlns:xm="http://schemas.microsoft.com/office/excel/2006/main">
          <x14:cfRule type="iconSet" priority="229" id="{1E755985-4A84-4F32-8A28-2DCA3B7180A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28" id="{6E75BEF9-25BA-4BCA-882A-58F9BFD7FC3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U20</xm:sqref>
        </x14:conditionalFormatting>
        <x14:conditionalFormatting xmlns:xm="http://schemas.microsoft.com/office/excel/2006/main">
          <x14:cfRule type="iconSet" priority="3" id="{63037C70-14A1-4D65-9E9A-C2301DA1AD2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" id="{18F476CB-3C2D-40FD-9F09-DD2D9053C50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" id="{547EE14D-A3C0-40EA-B054-CFB64EF8F34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U32</xm:sqref>
        </x14:conditionalFormatting>
        <x14:conditionalFormatting xmlns:xm="http://schemas.microsoft.com/office/excel/2006/main">
          <x14:cfRule type="iconSet" priority="119" id="{D358D871-E77F-4446-AC08-C0264736562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U38:U42</xm:sqref>
        </x14:conditionalFormatting>
        <x14:conditionalFormatting xmlns:xm="http://schemas.microsoft.com/office/excel/2006/main">
          <x14:cfRule type="iconSet" priority="104" id="{1D3B3F31-F472-4BE9-A141-75CEABA0093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03" id="{8CACE00A-8833-4053-9DD4-213CF4D5229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U72</xm:sqref>
        </x14:conditionalFormatting>
        <x14:conditionalFormatting xmlns:xm="http://schemas.microsoft.com/office/excel/2006/main">
          <x14:cfRule type="iconSet" priority="263" id="{A344FA21-32BB-4287-8AA1-8D88A2C712A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U6:X6</xm:sqref>
        </x14:conditionalFormatting>
        <x14:conditionalFormatting xmlns:xm="http://schemas.microsoft.com/office/excel/2006/main">
          <x14:cfRule type="iconSet" priority="260" id="{074508DC-22D1-4C8F-8E80-F0EE89A4EB1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U6:X8 U5:W5 U21:X25 U10:X18</xm:sqref>
        </x14:conditionalFormatting>
        <x14:conditionalFormatting xmlns:xm="http://schemas.microsoft.com/office/excel/2006/main">
          <x14:cfRule type="iconSet" priority="262" id="{E2AA8472-8ABB-4CB4-9BF6-C596E20240F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U7:X7</xm:sqref>
        </x14:conditionalFormatting>
        <x14:conditionalFormatting xmlns:xm="http://schemas.microsoft.com/office/excel/2006/main">
          <x14:cfRule type="iconSet" priority="259" id="{9D1F7D71-E6B7-4741-9C7C-18D69178205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U8:X8</xm:sqref>
        </x14:conditionalFormatting>
        <x14:conditionalFormatting xmlns:xm="http://schemas.microsoft.com/office/excel/2006/main">
          <x14:cfRule type="iconSet" priority="20" id="{2F72A225-C9AB-49F5-AA84-4CBE9C0F755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9" id="{689AA4FE-3830-476F-A50F-D62AEAA7330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U9:X9</xm:sqref>
        </x14:conditionalFormatting>
        <x14:conditionalFormatting xmlns:xm="http://schemas.microsoft.com/office/excel/2006/main">
          <x14:cfRule type="iconSet" priority="264" id="{2C02060D-29CB-4230-9934-C5377C74D28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U10:X18</xm:sqref>
        </x14:conditionalFormatting>
        <x14:conditionalFormatting xmlns:xm="http://schemas.microsoft.com/office/excel/2006/main">
          <x14:cfRule type="iconSet" priority="239" id="{8906D9C1-5C23-49FE-A3A9-46EE4AED0CF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38" id="{DE1EEB9C-B079-4FC0-89F3-D7DF69D138E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U19:X19</xm:sqref>
        </x14:conditionalFormatting>
        <x14:conditionalFormatting xmlns:xm="http://schemas.microsoft.com/office/excel/2006/main">
          <x14:cfRule type="iconSet" priority="261" id="{AA6D2F05-B67B-4BE8-A35F-BA51F4FFB881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U21:X21</xm:sqref>
        </x14:conditionalFormatting>
        <x14:conditionalFormatting xmlns:xm="http://schemas.microsoft.com/office/excel/2006/main">
          <x14:cfRule type="iconSet" priority="258" id="{59B52C43-C3B2-4B63-9989-6C3A4DC48A3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U22:X25</xm:sqref>
        </x14:conditionalFormatting>
        <x14:conditionalFormatting xmlns:xm="http://schemas.microsoft.com/office/excel/2006/main">
          <x14:cfRule type="iconSet" priority="252" id="{7FA384EA-DAD7-4298-AB46-4B57DBA0A907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U25:X25</xm:sqref>
        </x14:conditionalFormatting>
        <x14:conditionalFormatting xmlns:xm="http://schemas.microsoft.com/office/excel/2006/main">
          <x14:cfRule type="iconSet" priority="17" id="{93A7002A-AF0A-4924-9451-606D0C1715F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U27:X27 U30:X33</xm:sqref>
        </x14:conditionalFormatting>
        <x14:conditionalFormatting xmlns:xm="http://schemas.microsoft.com/office/excel/2006/main">
          <x14:cfRule type="iconSet" priority="5" id="{F1CD8BC3-0BAB-4DBA-B146-1668332B62D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U32:X32</xm:sqref>
        </x14:conditionalFormatting>
        <x14:conditionalFormatting xmlns:xm="http://schemas.microsoft.com/office/excel/2006/main">
          <x14:cfRule type="iconSet" priority="6" id="{4D21F337-CDEA-4C9E-BBB8-03F17F5A416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U33:X33 U27:X27 U30:X31</xm:sqref>
        </x14:conditionalFormatting>
        <x14:conditionalFormatting xmlns:xm="http://schemas.microsoft.com/office/excel/2006/main">
          <x14:cfRule type="iconSet" priority="4" id="{B9A06993-2A5A-4680-9E44-D7BE919C14AD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U33:X33 U30:X31 U27:X27</xm:sqref>
        </x14:conditionalFormatting>
        <x14:conditionalFormatting xmlns:xm="http://schemas.microsoft.com/office/excel/2006/main">
          <x14:cfRule type="iconSet" priority="12" id="{499688E7-1E0F-48D0-8A51-CDB2304C7C03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13" id="{E46032AC-088B-4CA1-AAAF-E158F3A8493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U34:X34</xm:sqref>
        </x14:conditionalFormatting>
        <x14:conditionalFormatting xmlns:xm="http://schemas.microsoft.com/office/excel/2006/main">
          <x14:cfRule type="iconSet" priority="124" id="{92C1273E-C280-4810-A747-0258DD89FE3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U37:X38</xm:sqref>
        </x14:conditionalFormatting>
        <x14:conditionalFormatting xmlns:xm="http://schemas.microsoft.com/office/excel/2006/main">
          <x14:cfRule type="iconSet" priority="125" id="{E48C10CB-E3FC-42C7-B5DE-F519E6250BCE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U37:X42</xm:sqref>
        </x14:conditionalFormatting>
        <x14:conditionalFormatting xmlns:xm="http://schemas.microsoft.com/office/excel/2006/main">
          <x14:cfRule type="iconSet" priority="123" id="{37F946AD-9251-44C2-8BA8-650AA464C55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U39:X39</xm:sqref>
        </x14:conditionalFormatting>
        <x14:conditionalFormatting xmlns:xm="http://schemas.microsoft.com/office/excel/2006/main">
          <x14:cfRule type="iconSet" priority="122" id="{EC7557FB-45B6-4084-8D46-01FBF1B0306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U40:X40</xm:sqref>
        </x14:conditionalFormatting>
        <x14:conditionalFormatting xmlns:xm="http://schemas.microsoft.com/office/excel/2006/main">
          <x14:cfRule type="iconSet" priority="120" id="{BE9A36C9-FC6F-41B1-A0A8-C5138CA1A2D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U41:X41</xm:sqref>
        </x14:conditionalFormatting>
        <x14:conditionalFormatting xmlns:xm="http://schemas.microsoft.com/office/excel/2006/main">
          <x14:cfRule type="iconSet" priority="121" id="{ABE4C11F-62B2-4E4C-AF94-9FDA29F730A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U42:X42</xm:sqref>
        </x14:conditionalFormatting>
        <x14:conditionalFormatting xmlns:xm="http://schemas.microsoft.com/office/excel/2006/main">
          <x14:cfRule type="iconSet" priority="227" id="{260D33AA-4D5B-467A-8BF6-82778156D5B9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26" id="{21986BD8-560B-4AD9-A527-EE00E3C15CF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V20</xm:sqref>
        </x14:conditionalFormatting>
        <x14:conditionalFormatting xmlns:xm="http://schemas.microsoft.com/office/excel/2006/main">
          <x14:cfRule type="iconSet" priority="225" id="{C862675A-43B6-4D32-85BA-F207DD837C3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24" id="{EA3991CF-80B2-4460-95B1-A87E081B6CA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W20</xm:sqref>
        </x14:conditionalFormatting>
        <x14:conditionalFormatting xmlns:xm="http://schemas.microsoft.com/office/excel/2006/main">
          <x14:cfRule type="iconSet" priority="222" id="{E09FE640-2A2E-4CE0-8B00-13D3C0934741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23" id="{DC4661AC-82F1-454F-B022-4D6F14A9B5C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X20</xm:sqref>
        </x14:conditionalFormatting>
        <x14:conditionalFormatting xmlns:xm="http://schemas.microsoft.com/office/excel/2006/main">
          <x14:cfRule type="iconSet" priority="221" id="{EBF4FFE1-7008-4282-9340-EA37CC4A404C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20" id="{79ED1E1B-7B62-46B4-AF67-16F66217F2BB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Y20</xm:sqref>
        </x14:conditionalFormatting>
        <x14:conditionalFormatting xmlns:xm="http://schemas.microsoft.com/office/excel/2006/main">
          <x14:cfRule type="iconSet" priority="72" id="{7CD46804-3FD7-44CF-ADCF-93BAE24DADD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Y64</xm:sqref>
        </x14:conditionalFormatting>
        <x14:conditionalFormatting xmlns:xm="http://schemas.microsoft.com/office/excel/2006/main">
          <x14:cfRule type="iconSet" priority="267" id="{912427E0-3170-4A19-9E88-E62745CBB89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Y6:AA6 O6 S6:T6</xm:sqref>
        </x14:conditionalFormatting>
        <x14:conditionalFormatting xmlns:xm="http://schemas.microsoft.com/office/excel/2006/main">
          <x14:cfRule type="iconSet" priority="266" id="{BE3F128A-C626-4A82-AEA9-8FF856D8CB51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Y7:AA7 O7 S7:T7</xm:sqref>
        </x14:conditionalFormatting>
        <x14:conditionalFormatting xmlns:xm="http://schemas.microsoft.com/office/excel/2006/main">
          <x14:cfRule type="iconSet" priority="270" id="{B7727272-1558-4F9A-B5A8-4FE556AE5D02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Y8:AA8 S8:T8 O8:O9</xm:sqref>
        </x14:conditionalFormatting>
        <x14:conditionalFormatting xmlns:xm="http://schemas.microsoft.com/office/excel/2006/main">
          <x14:cfRule type="iconSet" priority="268" id="{1FF13A27-82CB-4A37-8911-BBB75FEAF76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Y10:AA18 R12:T18 S10:T11 O10:O26</xm:sqref>
        </x14:conditionalFormatting>
        <x14:conditionalFormatting xmlns:xm="http://schemas.microsoft.com/office/excel/2006/main">
          <x14:cfRule type="iconSet" priority="240" id="{82FF8C6A-6CFA-4F6F-861B-0F3D838CD500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Y19:AA19 R19:T19</xm:sqref>
        </x14:conditionalFormatting>
        <x14:conditionalFormatting xmlns:xm="http://schemas.microsoft.com/office/excel/2006/main">
          <x14:cfRule type="iconSet" priority="265" id="{B225EA60-967B-45DF-9A05-314E3A677F9F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Y21:AA21 R21:T21</xm:sqref>
        </x14:conditionalFormatting>
        <x14:conditionalFormatting xmlns:xm="http://schemas.microsoft.com/office/excel/2006/main">
          <x14:cfRule type="iconSet" priority="278" id="{D9034DEF-4E13-40D1-943D-EDE6B37440D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Y25:AA25 R25:T25</xm:sqref>
        </x14:conditionalFormatting>
        <x14:conditionalFormatting xmlns:xm="http://schemas.microsoft.com/office/excel/2006/main">
          <x14:cfRule type="iconSet" priority="16" id="{40D710A6-083B-4641-9957-997239585B5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Y27:AA27 R27:T27 R30:T33 Y30:AA33 P28:AA29 O27:O33</xm:sqref>
        </x14:conditionalFormatting>
        <x14:conditionalFormatting xmlns:xm="http://schemas.microsoft.com/office/excel/2006/main">
          <x14:cfRule type="iconSet" priority="9" id="{C22FDEE0-679F-4A96-B1A5-EF2C75B6066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Y27:AA27 Y30:AA31 Y33:AA33 R27:T27 R30:T31 R33:T33</xm:sqref>
        </x14:conditionalFormatting>
        <x14:conditionalFormatting xmlns:xm="http://schemas.microsoft.com/office/excel/2006/main">
          <x14:cfRule type="iconSet" priority="8" id="{1002389D-D937-41B8-9B57-24BD240BB89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Y32:AA32 O32 R32:T32</xm:sqref>
        </x14:conditionalFormatting>
        <x14:conditionalFormatting xmlns:xm="http://schemas.microsoft.com/office/excel/2006/main">
          <x14:cfRule type="iconSet" priority="7" id="{095C8844-BA52-44BB-8D88-27E11EE5109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Y33:AA33 O27:O31 Y27:AA27 R33:T33 R27:T27 R30:T31 Y30:AA31 P28:AA29 O33</xm:sqref>
        </x14:conditionalFormatting>
        <x14:conditionalFormatting xmlns:xm="http://schemas.microsoft.com/office/excel/2006/main">
          <x14:cfRule type="iconSet" priority="128" id="{FC0E07C5-D8F7-4BEF-BD01-EE03EC35454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Y39:AA39 Q39:T39</xm:sqref>
        </x14:conditionalFormatting>
        <x14:conditionalFormatting xmlns:xm="http://schemas.microsoft.com/office/excel/2006/main">
          <x14:cfRule type="iconSet" priority="129" id="{455A30BF-2202-4934-B73B-59F09298136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Y40:AA40 O40:T40</xm:sqref>
        </x14:conditionalFormatting>
        <x14:conditionalFormatting xmlns:xm="http://schemas.microsoft.com/office/excel/2006/main">
          <x14:cfRule type="iconSet" priority="131" id="{35949684-FE91-4560-A665-80A44E00A09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Y41:AA41 O41 R41:T41</xm:sqref>
        </x14:conditionalFormatting>
        <x14:conditionalFormatting xmlns:xm="http://schemas.microsoft.com/office/excel/2006/main">
          <x14:cfRule type="iconSet" priority="130" id="{3A8137E5-54B3-4F12-8D1B-F8C64C444396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Y42:AA42 R42:T42</xm:sqref>
        </x14:conditionalFormatting>
        <x14:conditionalFormatting xmlns:xm="http://schemas.microsoft.com/office/excel/2006/main">
          <x14:cfRule type="iconSet" priority="216" id="{A8C54806-B470-4A93-AAB2-F3CDB9F2FFB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17" id="{39FCAB75-FEF1-4720-80CF-ED37498C9905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Z20</xm:sqref>
        </x14:conditionalFormatting>
        <x14:conditionalFormatting xmlns:xm="http://schemas.microsoft.com/office/excel/2006/main">
          <x14:cfRule type="iconSet" priority="218" id="{909B695F-E31A-41AD-B9FF-6438C2E58174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14:cfRule type="iconSet" priority="219" id="{15BE34D0-5C8F-4D9E-B135-5CC1599753AA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AA20</xm:sqref>
        </x14:conditionalFormatting>
        <x14:conditionalFormatting xmlns:xm="http://schemas.microsoft.com/office/excel/2006/main">
          <x14:cfRule type="iconSet" priority="71" id="{657FD539-3087-42CE-88BC-4AE96CC2FB78}">
            <x14:iconSet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TrafficLights1" iconId="0"/>
              <x14:cfIcon iconSet="3Symbols2" iconId="0"/>
              <x14:cfIcon iconSet="3Symbols2" iconId="2"/>
            </x14:iconSet>
          </x14:cfRule>
          <xm:sqref>AA64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31092026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Nendhen Puspita</dc:creator>
  <cp:lastModifiedBy>Zulham Ependi</cp:lastModifiedBy>
  <dcterms:created xsi:type="dcterms:W3CDTF">2026-08-31T02:05:49Z</dcterms:created>
  <dcterms:modified xsi:type="dcterms:W3CDTF">2026-08-31T10:03:07Z</dcterms:modified>
</cp:coreProperties>
</file>